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97B276E2-908D-4B6C-BF86-509928B0FC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Model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G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2" i="1"/>
  <c r="G69" i="1"/>
  <c r="G52" i="1"/>
  <c r="G97" i="1"/>
  <c r="G65" i="1"/>
  <c r="G4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5" i="1"/>
  <c r="G36" i="1"/>
  <c r="G37" i="1"/>
  <c r="G38" i="1"/>
  <c r="G39" i="1"/>
  <c r="G40" i="1"/>
  <c r="G41" i="1"/>
  <c r="G42" i="1"/>
  <c r="G43" i="1"/>
  <c r="G45" i="1"/>
  <c r="G46" i="1"/>
  <c r="G47" i="1"/>
  <c r="G49" i="1"/>
  <c r="G50" i="1"/>
  <c r="G51" i="1"/>
  <c r="G54" i="1"/>
  <c r="G55" i="1"/>
  <c r="G56" i="1"/>
  <c r="G57" i="1"/>
  <c r="G58" i="1"/>
  <c r="G59" i="1"/>
  <c r="G60" i="1"/>
  <c r="G61" i="1"/>
  <c r="G62" i="1"/>
  <c r="G63" i="1"/>
  <c r="G64" i="1"/>
  <c r="G66" i="1"/>
  <c r="G67" i="1"/>
  <c r="G68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90" i="1"/>
  <c r="G91" i="1"/>
  <c r="G92" i="1"/>
  <c r="G93" i="1"/>
  <c r="G94" i="1"/>
  <c r="G95" i="1"/>
  <c r="G96" i="1"/>
  <c r="G108" i="1"/>
  <c r="G119" i="1"/>
  <c r="G110" i="1"/>
  <c r="G98" i="1"/>
  <c r="G99" i="1"/>
  <c r="G100" i="1"/>
  <c r="G101" i="1"/>
  <c r="G103" i="1"/>
  <c r="G104" i="1"/>
  <c r="G105" i="1"/>
  <c r="G106" i="1"/>
  <c r="G107" i="1"/>
  <c r="G109" i="1"/>
  <c r="G111" i="1"/>
  <c r="G112" i="1"/>
  <c r="G113" i="1"/>
  <c r="G114" i="1"/>
  <c r="G115" i="1"/>
  <c r="G116" i="1"/>
  <c r="G117" i="1"/>
  <c r="G118" i="1"/>
  <c r="G120" i="1"/>
  <c r="G121" i="1"/>
  <c r="G122" i="1"/>
  <c r="G123" i="1"/>
  <c r="G124" i="1"/>
</calcChain>
</file>

<file path=xl/sharedStrings.xml><?xml version="1.0" encoding="utf-8"?>
<sst xmlns="http://schemas.openxmlformats.org/spreadsheetml/2006/main" count="6079" uniqueCount="413">
  <si>
    <t>B</t>
  </si>
  <si>
    <t>A</t>
  </si>
  <si>
    <t>C</t>
  </si>
  <si>
    <t>Grupo</t>
  </si>
  <si>
    <t>Álvarez Correa</t>
  </si>
  <si>
    <t>Manuela</t>
  </si>
  <si>
    <t>09:25:00</t>
  </si>
  <si>
    <t>10:01:00</t>
  </si>
  <si>
    <t>D</t>
  </si>
  <si>
    <t>Superior</t>
  </si>
  <si>
    <t>Alto</t>
  </si>
  <si>
    <t>10-01</t>
  </si>
  <si>
    <t>Arias Ortíz</t>
  </si>
  <si>
    <t>Juan Andrés</t>
  </si>
  <si>
    <t>10:00:00</t>
  </si>
  <si>
    <t>Ariza Patiño</t>
  </si>
  <si>
    <t>Jesús Alejandro</t>
  </si>
  <si>
    <t>F</t>
  </si>
  <si>
    <t>Bajo</t>
  </si>
  <si>
    <t>Bedoya García</t>
  </si>
  <si>
    <t>Eileen Tatiana</t>
  </si>
  <si>
    <t>10:04:00</t>
  </si>
  <si>
    <t>Betancur Betancur</t>
  </si>
  <si>
    <t>Santiago</t>
  </si>
  <si>
    <t>09:58:00</t>
  </si>
  <si>
    <t>Bolaño Pinto</t>
  </si>
  <si>
    <t>Bryanna Mayte</t>
  </si>
  <si>
    <t>10:05:00</t>
  </si>
  <si>
    <t>Básico</t>
  </si>
  <si>
    <t>Carvajal Romero</t>
  </si>
  <si>
    <t>Jhosep Jacob</t>
  </si>
  <si>
    <t>Castaño Echeverry</t>
  </si>
  <si>
    <t>Angeline</t>
  </si>
  <si>
    <t>10:15:00</t>
  </si>
  <si>
    <t>Castaño Martínez</t>
  </si>
  <si>
    <t>Isabella</t>
  </si>
  <si>
    <t>10:03:00</t>
  </si>
  <si>
    <t>N</t>
  </si>
  <si>
    <t>Contreras Guerrero</t>
  </si>
  <si>
    <t>Libny Yusney</t>
  </si>
  <si>
    <t>Correa Manrique</t>
  </si>
  <si>
    <t>Hana</t>
  </si>
  <si>
    <t>Cortés Arroyave</t>
  </si>
  <si>
    <t>Diuza Uribe</t>
  </si>
  <si>
    <t>Angel David</t>
  </si>
  <si>
    <t>Duque Salazar</t>
  </si>
  <si>
    <t>Samuel</t>
  </si>
  <si>
    <t>Espitia López</t>
  </si>
  <si>
    <t>Wilson Santiago</t>
  </si>
  <si>
    <t>10:10:00</t>
  </si>
  <si>
    <t>Flórez Henao</t>
  </si>
  <si>
    <t>09:54:00</t>
  </si>
  <si>
    <t>Franco Tujillo</t>
  </si>
  <si>
    <t>Juan Pablo</t>
  </si>
  <si>
    <t>09:59:00</t>
  </si>
  <si>
    <t>Galvis García</t>
  </si>
  <si>
    <t>Emmanuel</t>
  </si>
  <si>
    <t>Gaviria Soto</t>
  </si>
  <si>
    <t>Granada Pineda</t>
  </si>
  <si>
    <t>Juan Esteban</t>
  </si>
  <si>
    <t>10:06:00</t>
  </si>
  <si>
    <t>Jaime Díaz</t>
  </si>
  <si>
    <t>Jerez Arango</t>
  </si>
  <si>
    <t>Hellen</t>
  </si>
  <si>
    <t>Loaiza Uribe</t>
  </si>
  <si>
    <t>10:09:00</t>
  </si>
  <si>
    <t>López Garcés</t>
  </si>
  <si>
    <t>10:08:00</t>
  </si>
  <si>
    <t>Moráles Hernández</t>
  </si>
  <si>
    <t>Sarita</t>
  </si>
  <si>
    <t>Pachón Aguirre</t>
  </si>
  <si>
    <t>Valerye Tatiana</t>
  </si>
  <si>
    <t>Parra Quintero</t>
  </si>
  <si>
    <t>Gabriela</t>
  </si>
  <si>
    <t>10:07:00</t>
  </si>
  <si>
    <t>Puerto Ocampo</t>
  </si>
  <si>
    <t>Ximena</t>
  </si>
  <si>
    <t>S</t>
  </si>
  <si>
    <t>Ramírez Lozano</t>
  </si>
  <si>
    <t>Yulian Camilo</t>
  </si>
  <si>
    <t>Ramírez Martin</t>
  </si>
  <si>
    <t>Karen</t>
  </si>
  <si>
    <t>10:02:00</t>
  </si>
  <si>
    <t>Rivera Mejía</t>
  </si>
  <si>
    <t>María Alejandra</t>
  </si>
  <si>
    <t>Romero Estanga</t>
  </si>
  <si>
    <t>Hilda Valentina</t>
  </si>
  <si>
    <t>Zapata Arboleda</t>
  </si>
  <si>
    <t>María Salomé</t>
  </si>
  <si>
    <t>Mariana</t>
  </si>
  <si>
    <t>?</t>
  </si>
  <si>
    <t>10-02</t>
  </si>
  <si>
    <t>Arango Bedoya</t>
  </si>
  <si>
    <t>Juan Manuel</t>
  </si>
  <si>
    <t>Arboleda Vélez</t>
  </si>
  <si>
    <t>Felipe</t>
  </si>
  <si>
    <t>Arredondo Largo</t>
  </si>
  <si>
    <t>Evelyn Yarith</t>
  </si>
  <si>
    <t>Arrieta Castro</t>
  </si>
  <si>
    <t>Yuranis Carolina</t>
  </si>
  <si>
    <t>Bedoya Sandoval</t>
  </si>
  <si>
    <t>Matías</t>
  </si>
  <si>
    <t>Correa Giraldo</t>
  </si>
  <si>
    <t>Johan Steven</t>
  </si>
  <si>
    <t>Díaz Llerena</t>
  </si>
  <si>
    <t>Jhon Deivy</t>
  </si>
  <si>
    <t>09:57:00</t>
  </si>
  <si>
    <t>Duque Zapata</t>
  </si>
  <si>
    <t>Emanuel</t>
  </si>
  <si>
    <t>Fernández Suárez</t>
  </si>
  <si>
    <t>Samuel Enrique</t>
  </si>
  <si>
    <t>09:56:00</t>
  </si>
  <si>
    <t>Gallego Pareja</t>
  </si>
  <si>
    <t>Sara</t>
  </si>
  <si>
    <t>Gil Orjuela</t>
  </si>
  <si>
    <t>Anderson Stick</t>
  </si>
  <si>
    <t>Gutiérrez Zuluaga</t>
  </si>
  <si>
    <t>Valentina</t>
  </si>
  <si>
    <t>Medina de la Torre</t>
  </si>
  <si>
    <t>Juana Valentina</t>
  </si>
  <si>
    <t>Mejía García</t>
  </si>
  <si>
    <t>Sara Alejandra</t>
  </si>
  <si>
    <t>Mendoza Vargas</t>
  </si>
  <si>
    <t>Marlon David</t>
  </si>
  <si>
    <t>Montoya Arias</t>
  </si>
  <si>
    <t>Sofía</t>
  </si>
  <si>
    <t>Montoya Nieto</t>
  </si>
  <si>
    <t>Roberto</t>
  </si>
  <si>
    <t>Moreno Blanco</t>
  </si>
  <si>
    <t>Ashley Sarai</t>
  </si>
  <si>
    <t>Muñoz López</t>
  </si>
  <si>
    <t>Esteban</t>
  </si>
  <si>
    <t>N. A.</t>
  </si>
  <si>
    <t>Patiño Castaño</t>
  </si>
  <si>
    <t>Isabela</t>
  </si>
  <si>
    <t>Peláez López</t>
  </si>
  <si>
    <t>Pérez Cardona</t>
  </si>
  <si>
    <t>Salomé</t>
  </si>
  <si>
    <t>Pérez Jacome</t>
  </si>
  <si>
    <t>José David</t>
  </si>
  <si>
    <t>Rodríguez Márquez</t>
  </si>
  <si>
    <t>Lusnari Madeley</t>
  </si>
  <si>
    <t>Rojas Rendón</t>
  </si>
  <si>
    <t>Ruíz Díaz</t>
  </si>
  <si>
    <t>Sánchez Restrepo</t>
  </si>
  <si>
    <t>Tabarez Jiménez</t>
  </si>
  <si>
    <t>Zapata Mendoza</t>
  </si>
  <si>
    <t>Juan José</t>
  </si>
  <si>
    <t>09:55:00</t>
  </si>
  <si>
    <t>Zapata Palacios</t>
  </si>
  <si>
    <t>Juan Camilo</t>
  </si>
  <si>
    <t>Arboleda Toro</t>
  </si>
  <si>
    <t>Stefanía</t>
  </si>
  <si>
    <t>10-03</t>
  </si>
  <si>
    <t>Bedoya Salazar</t>
  </si>
  <si>
    <t>Tamara</t>
  </si>
  <si>
    <t>Caracas Florez</t>
  </si>
  <si>
    <t>Ivan Mauricio</t>
  </si>
  <si>
    <t>Carrasquel Ceballos</t>
  </si>
  <si>
    <t>Erick José</t>
  </si>
  <si>
    <t>Castillo Aguirre</t>
  </si>
  <si>
    <t>Allison</t>
  </si>
  <si>
    <t>09:50:00</t>
  </si>
  <si>
    <t>Ceballos Piedrahita</t>
  </si>
  <si>
    <t>Miguel Ángel</t>
  </si>
  <si>
    <t>Cortés Tobón</t>
  </si>
  <si>
    <t>Tomás</t>
  </si>
  <si>
    <t>Del Prado Yanes</t>
  </si>
  <si>
    <t>Fiorella Andrea</t>
  </si>
  <si>
    <t>Florez Perez</t>
  </si>
  <si>
    <t>Mathías</t>
  </si>
  <si>
    <t>Franco Vélez</t>
  </si>
  <si>
    <t>Alexander</t>
  </si>
  <si>
    <t>García Campuzano</t>
  </si>
  <si>
    <t>Daniela</t>
  </si>
  <si>
    <t>García Montes</t>
  </si>
  <si>
    <t>Gil Gómez</t>
  </si>
  <si>
    <t>Gómez Marín</t>
  </si>
  <si>
    <t>Grajales Durán</t>
  </si>
  <si>
    <t>Sergio</t>
  </si>
  <si>
    <t>Londoño Giraldo</t>
  </si>
  <si>
    <t>Vaihole Sofía</t>
  </si>
  <si>
    <t>López Álvarez</t>
  </si>
  <si>
    <t>López Morales</t>
  </si>
  <si>
    <t>María José</t>
  </si>
  <si>
    <t>Morales Berrío</t>
  </si>
  <si>
    <t>Ana Sofía</t>
  </si>
  <si>
    <t>Moreno Gallego</t>
  </si>
  <si>
    <t>Luciana</t>
  </si>
  <si>
    <t>Naranjo Osorio</t>
  </si>
  <si>
    <t>Maily Mariana</t>
  </si>
  <si>
    <t>Orrego Ospina</t>
  </si>
  <si>
    <t>Isabel Cristina</t>
  </si>
  <si>
    <t>Pérez Castaño</t>
  </si>
  <si>
    <t>Dylan David</t>
  </si>
  <si>
    <t>Rincón Ramírez</t>
  </si>
  <si>
    <t>Nicolás</t>
  </si>
  <si>
    <t>Robayo Arbeláez</t>
  </si>
  <si>
    <t>Abby Luciana</t>
  </si>
  <si>
    <t>Rodríguez Vargas</t>
  </si>
  <si>
    <t>Alejandro</t>
  </si>
  <si>
    <t>Salazar Londoño</t>
  </si>
  <si>
    <t>Helen Dahiana</t>
  </si>
  <si>
    <t>Tangarife Yepes</t>
  </si>
  <si>
    <t>09:53:00</t>
  </si>
  <si>
    <t>Tapiero Molina</t>
  </si>
  <si>
    <t>Valery Criss</t>
  </si>
  <si>
    <t>Urango Sepúlveda</t>
  </si>
  <si>
    <t>Evelyn</t>
  </si>
  <si>
    <t>Valencia Cardona</t>
  </si>
  <si>
    <t>Camila</t>
  </si>
  <si>
    <t>Zapata Restrepo</t>
  </si>
  <si>
    <t>Acevedo Alzate</t>
  </si>
  <si>
    <t>09:32:00</t>
  </si>
  <si>
    <t>11:00:00</t>
  </si>
  <si>
    <t>11-01</t>
  </si>
  <si>
    <t>Arias Pedraza</t>
  </si>
  <si>
    <t>Dylan</t>
  </si>
  <si>
    <t>Colorado Vélez</t>
  </si>
  <si>
    <t>María Camila</t>
  </si>
  <si>
    <t>09:52:00</t>
  </si>
  <si>
    <t>Díaz Correa</t>
  </si>
  <si>
    <t>Valery Tatiana</t>
  </si>
  <si>
    <t>Espinosa Ortíz</t>
  </si>
  <si>
    <t>10:22:00</t>
  </si>
  <si>
    <t>Gil Díaz</t>
  </si>
  <si>
    <t>Halizon</t>
  </si>
  <si>
    <t>Gil Ospina</t>
  </si>
  <si>
    <t>10:52:00</t>
  </si>
  <si>
    <t>Gomez Iglesias</t>
  </si>
  <si>
    <t>10:33:00</t>
  </si>
  <si>
    <t>Gonzales Quiceno</t>
  </si>
  <si>
    <t>10:34:00</t>
  </si>
  <si>
    <t>Hoyos Guapacha</t>
  </si>
  <si>
    <t>Jerónimo</t>
  </si>
  <si>
    <t>López Pineda</t>
  </si>
  <si>
    <t>Diego Alejandro</t>
  </si>
  <si>
    <t>Martínez Velásquez</t>
  </si>
  <si>
    <t>Méndez Molina</t>
  </si>
  <si>
    <t>Morales Carmona</t>
  </si>
  <si>
    <t>Pantoja Cardona</t>
  </si>
  <si>
    <t>Peña Romero</t>
  </si>
  <si>
    <t>Juan Sebastián</t>
  </si>
  <si>
    <t>10:38:00</t>
  </si>
  <si>
    <t>Pérez Fajardo</t>
  </si>
  <si>
    <t>Najman Daniel</t>
  </si>
  <si>
    <t>Pérez Gaviria</t>
  </si>
  <si>
    <t>Sara María</t>
  </si>
  <si>
    <t>Pérez Rivera</t>
  </si>
  <si>
    <t>Dana Sofía</t>
  </si>
  <si>
    <t>10:21:00</t>
  </si>
  <si>
    <t>Tamayo Gómez</t>
  </si>
  <si>
    <t>Simón</t>
  </si>
  <si>
    <t>Trujillo Restrepo</t>
  </si>
  <si>
    <t>Valle Arango</t>
  </si>
  <si>
    <t>Laura</t>
  </si>
  <si>
    <t>Vallejo Sánchez</t>
  </si>
  <si>
    <t>Melissa</t>
  </si>
  <si>
    <t>Velazco Bartolo</t>
  </si>
  <si>
    <t>Leidy Sofía</t>
  </si>
  <si>
    <t>10:29:00</t>
  </si>
  <si>
    <t>Villanueva Olarte</t>
  </si>
  <si>
    <t>Alison Ariana</t>
  </si>
  <si>
    <t>10:28:00</t>
  </si>
  <si>
    <t>10:23:00</t>
  </si>
  <si>
    <t>Zuleta Hincapié</t>
  </si>
  <si>
    <t>Melany</t>
  </si>
  <si>
    <t>Aguilar Trujillo</t>
  </si>
  <si>
    <t>Juliana</t>
  </si>
  <si>
    <t>09:30:00</t>
  </si>
  <si>
    <t>11-02</t>
  </si>
  <si>
    <t>Aguirre Alzate</t>
  </si>
  <si>
    <t>Arbeláez Marulanda</t>
  </si>
  <si>
    <t>Valery</t>
  </si>
  <si>
    <t>Bedoya Rico</t>
  </si>
  <si>
    <t>Steven</t>
  </si>
  <si>
    <t>Beltrán Villada</t>
  </si>
  <si>
    <t>Sebastián</t>
  </si>
  <si>
    <t>Bustamante Zapata</t>
  </si>
  <si>
    <t>Campuzano Gómez</t>
  </si>
  <si>
    <t>Cárdenas Ciro</t>
  </si>
  <si>
    <t>Justin</t>
  </si>
  <si>
    <t>Castrillón Molano</t>
  </si>
  <si>
    <t>Danna Isabella</t>
  </si>
  <si>
    <t>Colorado Ruiz</t>
  </si>
  <si>
    <t>Galeano Montoya</t>
  </si>
  <si>
    <t>Gallego Montes</t>
  </si>
  <si>
    <t>Valeria</t>
  </si>
  <si>
    <t>David</t>
  </si>
  <si>
    <t>Gonzáles Tapasco</t>
  </si>
  <si>
    <t>Luisa María</t>
  </si>
  <si>
    <t>Huertas Franco</t>
  </si>
  <si>
    <t>López Cardona</t>
  </si>
  <si>
    <t>López Gutiérrez</t>
  </si>
  <si>
    <t>Martínez Álvarez</t>
  </si>
  <si>
    <t>Muñoz Giraldo</t>
  </si>
  <si>
    <t>Muñoz Posada</t>
  </si>
  <si>
    <t>Ojeda Betancur</t>
  </si>
  <si>
    <t>Hellen Dayanna</t>
  </si>
  <si>
    <t>Parra Londoño</t>
  </si>
  <si>
    <t>10:11:00</t>
  </si>
  <si>
    <t>Pineda Moreno</t>
  </si>
  <si>
    <t>Gusmery José</t>
  </si>
  <si>
    <t>Ramírez Alzate</t>
  </si>
  <si>
    <t>Rendón Bedoya</t>
  </si>
  <si>
    <t>Dylan Felipe</t>
  </si>
  <si>
    <t>Juan Fernando</t>
  </si>
  <si>
    <t>Sánchez Pedraza</t>
  </si>
  <si>
    <t>Tapiero Muñoz</t>
  </si>
  <si>
    <t>Valeri</t>
  </si>
  <si>
    <t>Vélez Arango</t>
  </si>
  <si>
    <t>Saray</t>
  </si>
  <si>
    <t>Zuñiga Posada</t>
  </si>
  <si>
    <t>Susana</t>
  </si>
  <si>
    <t>Blanquicett Arboleda</t>
  </si>
  <si>
    <t>09:05:00</t>
  </si>
  <si>
    <t>11-03</t>
  </si>
  <si>
    <t>Cacais Herrera</t>
  </si>
  <si>
    <t>Sara Sofía</t>
  </si>
  <si>
    <t>Cortés Zapata</t>
  </si>
  <si>
    <t>Díaz Álvarez</t>
  </si>
  <si>
    <t>Brandon</t>
  </si>
  <si>
    <t>Florez Daza</t>
  </si>
  <si>
    <t>Gómez Ríos</t>
  </si>
  <si>
    <t>Guevara Ríos</t>
  </si>
  <si>
    <t>Estefanía</t>
  </si>
  <si>
    <t>Henao Quintero</t>
  </si>
  <si>
    <t>Henao Sánchez</t>
  </si>
  <si>
    <t>Hincapié Holguín</t>
  </si>
  <si>
    <t>Isac David</t>
  </si>
  <si>
    <t>10:35:00</t>
  </si>
  <si>
    <t>Hurtado Martínez</t>
  </si>
  <si>
    <t>María Yurani</t>
  </si>
  <si>
    <t>Martínez Martínez</t>
  </si>
  <si>
    <t>Montes Lemus</t>
  </si>
  <si>
    <t>Federico</t>
  </si>
  <si>
    <t>Mosquera Correa</t>
  </si>
  <si>
    <t>Vanesa</t>
  </si>
  <si>
    <t>Ordoñez Méndez</t>
  </si>
  <si>
    <t>Orozco Pineda</t>
  </si>
  <si>
    <t>Gabriel</t>
  </si>
  <si>
    <t>10:32:00</t>
  </si>
  <si>
    <t>Ortega Eraso</t>
  </si>
  <si>
    <t>Johan Andrés</t>
  </si>
  <si>
    <t>10:18:00</t>
  </si>
  <si>
    <t>Palacio Villada</t>
  </si>
  <si>
    <t>Patiño Cortés</t>
  </si>
  <si>
    <t>Ramírez Osorio</t>
  </si>
  <si>
    <t>Rendón Pérez</t>
  </si>
  <si>
    <t>Annie Lizeth</t>
  </si>
  <si>
    <t>Reyes Gutiérrez</t>
  </si>
  <si>
    <t>Ruth Elizabeth</t>
  </si>
  <si>
    <t>Rodas Pérez</t>
  </si>
  <si>
    <t>10:30:00</t>
  </si>
  <si>
    <t>Salazar Arango</t>
  </si>
  <si>
    <t>David Leonardo</t>
  </si>
  <si>
    <t>Salazar Olarte</t>
  </si>
  <si>
    <t>Josué</t>
  </si>
  <si>
    <t>Tamayo Vélez</t>
  </si>
  <si>
    <t>Tarazona Fajardo</t>
  </si>
  <si>
    <t>Thais Michell</t>
  </si>
  <si>
    <t>10:17:00</t>
  </si>
  <si>
    <t>Tenorio Londoño</t>
  </si>
  <si>
    <t>Isaac</t>
  </si>
  <si>
    <t>Vallejo Anduquia</t>
  </si>
  <si>
    <t>10:19:00</t>
  </si>
  <si>
    <t>Apellido</t>
  </si>
  <si>
    <t>Nombre</t>
  </si>
  <si>
    <t>Hora de entrega</t>
  </si>
  <si>
    <t>Hora de inicio</t>
  </si>
  <si>
    <t>Resultado</t>
  </si>
  <si>
    <t>Tiempo total</t>
  </si>
  <si>
    <t>09:25:64</t>
  </si>
  <si>
    <t>09:25:62</t>
  </si>
  <si>
    <t>09:25:60</t>
  </si>
  <si>
    <t>09:25:58</t>
  </si>
  <si>
    <t>09:25:56</t>
  </si>
  <si>
    <t>09:25:54</t>
  </si>
  <si>
    <t>09:25:52</t>
  </si>
  <si>
    <t>09:25:50</t>
  </si>
  <si>
    <t>09:25:48</t>
  </si>
  <si>
    <t>09:25:46</t>
  </si>
  <si>
    <t>09:25:44</t>
  </si>
  <si>
    <t>09:25:42</t>
  </si>
  <si>
    <t>09:25:40</t>
  </si>
  <si>
    <t>09:25:38</t>
  </si>
  <si>
    <t>09:25:36</t>
  </si>
  <si>
    <t>09:25:32</t>
  </si>
  <si>
    <t>09:25:30</t>
  </si>
  <si>
    <t>09:25:28</t>
  </si>
  <si>
    <t>09:25:26</t>
  </si>
  <si>
    <t>09:25:24</t>
  </si>
  <si>
    <t>09:25:22</t>
  </si>
  <si>
    <t>09:25:20</t>
  </si>
  <si>
    <t>09:25:18</t>
  </si>
  <si>
    <t>09:25:16</t>
  </si>
  <si>
    <t>09:25:14</t>
  </si>
  <si>
    <t>09:25:12</t>
  </si>
  <si>
    <t>09:25:10</t>
  </si>
  <si>
    <t>09:25:08</t>
  </si>
  <si>
    <t>09:25:06</t>
  </si>
  <si>
    <t>09:25:04</t>
  </si>
  <si>
    <t>09:25:02</t>
  </si>
  <si>
    <t>Calificación</t>
  </si>
  <si>
    <t>Economia</t>
  </si>
  <si>
    <t>Nivel Economia</t>
  </si>
  <si>
    <t>Finanzas</t>
  </si>
  <si>
    <t>Nivel finanzas</t>
  </si>
  <si>
    <t>Gestion de Riesgo</t>
  </si>
  <si>
    <t>Nivel Gestión de Riesgo</t>
  </si>
  <si>
    <t>Ranking</t>
  </si>
  <si>
    <t># Lista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</si>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</sst>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5"/>
  <sheetViews>
    <sheetView tabSelected="1" topLeftCell="T1" zoomScale="70" zoomScaleNormal="70" workbookViewId="0">
      <selection activeCell="J10" sqref="J10"/>
    </sheetView>
  </sheetViews>
  <sheetFormatPr baseColWidth="10" defaultColWidth="9.140625" defaultRowHeight="15" x14ac:dyDescent="0.25"/>
  <cols>
    <col min="1" max="1" width="12.7109375" customWidth="1"/>
    <col min="3" max="3" width="12.28515625" customWidth="1"/>
    <col min="4" max="4" width="16.5703125" customWidth="1"/>
    <col min="5" max="5" width="14.42578125" customWidth="1"/>
    <col min="6" max="6" width="15.7109375" customWidth="1"/>
    <col min="7" max="7" width="16.42578125" customWidth="1"/>
    <col min="9" max="9" width="14.42578125" customWidth="1"/>
    <col min="10" max="10" width="13.7109375" customWidth="1"/>
    <col min="11" max="11" width="15.28515625" customWidth="1"/>
    <col min="12" max="12" width="14" customWidth="1"/>
    <col min="13" max="13" width="12.28515625" customWidth="1"/>
    <col min="14" max="14" width="13.5703125" customWidth="1"/>
    <col min="15" max="15" width="12.85546875" customWidth="1"/>
    <col min="16" max="16" width="12.5703125" customWidth="1"/>
    <col min="17" max="17" width="12" customWidth="1"/>
    <col min="18" max="18" width="12.5703125" customWidth="1"/>
    <col min="19" max="19" width="12.7109375" customWidth="1"/>
    <col min="20" max="20" width="16.5703125" customWidth="1"/>
    <col min="21" max="21" width="16.7109375" customWidth="1"/>
    <col min="22" max="22" width="12.140625" customWidth="1"/>
    <col min="23" max="24" width="12.5703125" customWidth="1"/>
    <col min="25" max="25" width="13.5703125" customWidth="1"/>
    <col min="26" max="26" width="13.85546875" customWidth="1"/>
    <col min="27" max="27" width="14.7109375" customWidth="1"/>
    <col min="28" max="28" width="13" customWidth="1"/>
    <col min="29" max="29" width="15.28515625" customWidth="1"/>
    <col min="30" max="30" width="14.7109375" customWidth="1"/>
    <col min="31" max="31" width="15.5703125" customWidth="1"/>
    <col min="32" max="32" width="13" customWidth="1"/>
    <col min="41" max="41" width="9.140625" customWidth="1"/>
  </cols>
  <sheetData>
    <row r="1" spans="1:41" ht="15.75" thickBot="1" x14ac:dyDescent="0.3">
      <c r="A1" s="4" t="s">
        <v>412</v>
      </c>
      <c r="B1" s="3" t="s">
        <v>411</v>
      </c>
      <c r="C1" s="1" t="s">
        <v>366</v>
      </c>
      <c r="D1" s="1" t="s">
        <v>367</v>
      </c>
      <c r="E1" s="1" t="s">
        <v>369</v>
      </c>
      <c r="F1" s="1" t="s">
        <v>368</v>
      </c>
      <c r="G1" s="1" t="s">
        <v>371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 t="s">
        <v>403</v>
      </c>
      <c r="AG1" s="1" t="s">
        <v>404</v>
      </c>
      <c r="AH1" s="1" t="s">
        <v>405</v>
      </c>
      <c r="AI1" s="1" t="s">
        <v>406</v>
      </c>
      <c r="AJ1" s="1" t="s">
        <v>407</v>
      </c>
      <c r="AK1" s="1" t="s">
        <v>408</v>
      </c>
      <c r="AL1" s="1" t="s">
        <v>409</v>
      </c>
      <c r="AM1" s="1" t="s">
        <v>370</v>
      </c>
      <c r="AN1" s="1" t="s">
        <v>410</v>
      </c>
      <c r="AO1" s="1" t="s">
        <v>3</v>
      </c>
    </row>
    <row r="2" spans="1:41" x14ac:dyDescent="0.25">
      <c r="A2">
        <f>IF(C2&lt;&gt;"", COUNTA($C$2:C2), "")</f>
        <v>1</v>
      </c>
      <c r="B2">
        <v>1</v>
      </c>
      <c r="C2" t="s">
        <v>4</v>
      </c>
      <c r="D2" t="s">
        <v>5</v>
      </c>
      <c r="E2" s="2" t="s">
        <v>6</v>
      </c>
      <c r="F2" t="s">
        <v>7</v>
      </c>
      <c r="G2">
        <f t="shared" ref="G2:G33" si="0">ROUND(((HOUR(F2)+MINUTE(F2)/60) - (HOUR(E2)+MINUTE(E2)/60)) * 60,1)</f>
        <v>36</v>
      </c>
      <c r="H2" t="s">
        <v>0</v>
      </c>
      <c r="I2" t="s">
        <v>0</v>
      </c>
      <c r="J2" t="s">
        <v>0</v>
      </c>
      <c r="K2" t="s">
        <v>1</v>
      </c>
      <c r="L2" t="s">
        <v>2</v>
      </c>
      <c r="M2" t="s">
        <v>0</v>
      </c>
      <c r="N2" t="s">
        <v>2</v>
      </c>
      <c r="O2" t="s">
        <v>0</v>
      </c>
      <c r="P2" t="s">
        <v>0</v>
      </c>
      <c r="Q2" t="s">
        <v>2</v>
      </c>
      <c r="R2" t="s">
        <v>1</v>
      </c>
      <c r="S2" t="s">
        <v>2</v>
      </c>
      <c r="T2" t="s">
        <v>0</v>
      </c>
      <c r="U2" t="s">
        <v>8</v>
      </c>
      <c r="V2" t="s">
        <v>0</v>
      </c>
      <c r="W2" t="s">
        <v>0</v>
      </c>
      <c r="X2" t="s">
        <v>2</v>
      </c>
      <c r="Y2" t="s">
        <v>0</v>
      </c>
      <c r="Z2" t="s">
        <v>2</v>
      </c>
      <c r="AA2" t="s">
        <v>0</v>
      </c>
      <c r="AB2" t="s">
        <v>0</v>
      </c>
      <c r="AC2" t="s">
        <v>0</v>
      </c>
      <c r="AD2" t="s">
        <v>2</v>
      </c>
      <c r="AE2" t="s">
        <v>0</v>
      </c>
      <c r="AF2">
        <v>4.4000000000000004</v>
      </c>
      <c r="AG2">
        <v>7</v>
      </c>
      <c r="AH2" t="s">
        <v>9</v>
      </c>
      <c r="AI2">
        <v>6</v>
      </c>
      <c r="AJ2" t="s">
        <v>10</v>
      </c>
      <c r="AK2">
        <v>8</v>
      </c>
      <c r="AL2" t="s">
        <v>9</v>
      </c>
      <c r="AM2" t="s">
        <v>9</v>
      </c>
      <c r="AN2">
        <v>15</v>
      </c>
      <c r="AO2" t="s">
        <v>11</v>
      </c>
    </row>
    <row r="3" spans="1:41" x14ac:dyDescent="0.25">
      <c r="A3">
        <f>IF(C3&lt;&gt;"", COUNTA($C$2:C3), "")</f>
        <v>2</v>
      </c>
      <c r="B3">
        <v>2</v>
      </c>
      <c r="C3" t="s">
        <v>12</v>
      </c>
      <c r="D3" t="s">
        <v>13</v>
      </c>
      <c r="E3" s="2" t="s">
        <v>402</v>
      </c>
      <c r="F3" t="s">
        <v>14</v>
      </c>
      <c r="G3">
        <f t="shared" si="0"/>
        <v>35</v>
      </c>
      <c r="H3" t="s">
        <v>0</v>
      </c>
      <c r="I3" t="s">
        <v>0</v>
      </c>
      <c r="J3" t="s">
        <v>0</v>
      </c>
      <c r="K3" t="s">
        <v>1</v>
      </c>
      <c r="L3" t="s">
        <v>1</v>
      </c>
      <c r="M3" t="s">
        <v>0</v>
      </c>
      <c r="N3" t="s">
        <v>2</v>
      </c>
      <c r="O3" t="s">
        <v>1</v>
      </c>
      <c r="P3" t="s">
        <v>0</v>
      </c>
      <c r="Q3" t="s">
        <v>2</v>
      </c>
      <c r="R3" t="s">
        <v>1</v>
      </c>
      <c r="S3" t="s">
        <v>2</v>
      </c>
      <c r="T3" t="s">
        <v>2</v>
      </c>
      <c r="U3" t="s">
        <v>2</v>
      </c>
      <c r="V3" t="s">
        <v>0</v>
      </c>
      <c r="W3" t="s">
        <v>0</v>
      </c>
      <c r="X3" t="s">
        <v>2</v>
      </c>
      <c r="Y3" t="s">
        <v>0</v>
      </c>
      <c r="Z3" t="s">
        <v>2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>
        <v>4.2</v>
      </c>
      <c r="AG3">
        <v>5</v>
      </c>
      <c r="AH3" t="s">
        <v>10</v>
      </c>
      <c r="AI3">
        <v>8</v>
      </c>
      <c r="AJ3" t="s">
        <v>9</v>
      </c>
      <c r="AK3">
        <v>7</v>
      </c>
      <c r="AL3" t="s">
        <v>9</v>
      </c>
      <c r="AM3" t="s">
        <v>10</v>
      </c>
      <c r="AN3">
        <v>16</v>
      </c>
      <c r="AO3" t="s">
        <v>11</v>
      </c>
    </row>
    <row r="4" spans="1:41" x14ac:dyDescent="0.25">
      <c r="A4">
        <f>IF(C4&lt;&gt;"", COUNTA($C$2:C4), "")</f>
        <v>3</v>
      </c>
      <c r="B4">
        <v>3</v>
      </c>
      <c r="C4" t="s">
        <v>15</v>
      </c>
      <c r="D4" t="s">
        <v>16</v>
      </c>
      <c r="E4" s="2" t="s">
        <v>401</v>
      </c>
      <c r="F4" s="2">
        <v>0.41944444444444445</v>
      </c>
      <c r="G4">
        <f t="shared" si="0"/>
        <v>39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>
        <v>0</v>
      </c>
      <c r="AG4">
        <v>0</v>
      </c>
      <c r="AH4" t="s">
        <v>18</v>
      </c>
      <c r="AI4">
        <v>0</v>
      </c>
      <c r="AJ4" t="s">
        <v>18</v>
      </c>
      <c r="AK4">
        <v>0</v>
      </c>
      <c r="AL4" t="s">
        <v>18</v>
      </c>
      <c r="AM4" t="s">
        <v>18</v>
      </c>
      <c r="AN4">
        <v>33</v>
      </c>
      <c r="AO4" t="s">
        <v>11</v>
      </c>
    </row>
    <row r="5" spans="1:41" x14ac:dyDescent="0.25">
      <c r="A5">
        <f>IF(C5&lt;&gt;"", COUNTA($C$2:C5), "")</f>
        <v>4</v>
      </c>
      <c r="B5">
        <v>4</v>
      </c>
      <c r="C5" t="s">
        <v>19</v>
      </c>
      <c r="D5" t="s">
        <v>20</v>
      </c>
      <c r="E5" s="2" t="s">
        <v>400</v>
      </c>
      <c r="F5" t="s">
        <v>21</v>
      </c>
      <c r="G5">
        <f t="shared" si="0"/>
        <v>39</v>
      </c>
      <c r="H5" t="s">
        <v>0</v>
      </c>
      <c r="I5" t="s">
        <v>0</v>
      </c>
      <c r="J5" t="s">
        <v>0</v>
      </c>
      <c r="K5" t="s">
        <v>1</v>
      </c>
      <c r="L5" t="s">
        <v>2</v>
      </c>
      <c r="M5" t="s">
        <v>0</v>
      </c>
      <c r="N5" t="s">
        <v>2</v>
      </c>
      <c r="O5" t="s">
        <v>0</v>
      </c>
      <c r="P5" t="s">
        <v>0</v>
      </c>
      <c r="Q5" t="s">
        <v>2</v>
      </c>
      <c r="R5" t="s">
        <v>1</v>
      </c>
      <c r="S5" t="s">
        <v>2</v>
      </c>
      <c r="T5" t="s">
        <v>2</v>
      </c>
      <c r="U5" t="s">
        <v>0</v>
      </c>
      <c r="V5" t="s">
        <v>0</v>
      </c>
      <c r="W5" t="s">
        <v>0</v>
      </c>
      <c r="X5" t="s">
        <v>2</v>
      </c>
      <c r="Y5" t="s">
        <v>0</v>
      </c>
      <c r="Z5" t="s">
        <v>2</v>
      </c>
      <c r="AA5" t="s">
        <v>0</v>
      </c>
      <c r="AB5" t="s">
        <v>0</v>
      </c>
      <c r="AC5" t="s">
        <v>0</v>
      </c>
      <c r="AD5" t="s">
        <v>2</v>
      </c>
      <c r="AE5" t="s">
        <v>0</v>
      </c>
      <c r="AF5">
        <v>4.5999999999999996</v>
      </c>
      <c r="AG5">
        <v>7</v>
      </c>
      <c r="AH5" t="s">
        <v>9</v>
      </c>
      <c r="AI5">
        <v>7</v>
      </c>
      <c r="AJ5" t="s">
        <v>9</v>
      </c>
      <c r="AK5">
        <v>8</v>
      </c>
      <c r="AL5" t="s">
        <v>9</v>
      </c>
      <c r="AM5" t="s">
        <v>9</v>
      </c>
      <c r="AN5">
        <v>12</v>
      </c>
      <c r="AO5" t="s">
        <v>11</v>
      </c>
    </row>
    <row r="6" spans="1:41" x14ac:dyDescent="0.25">
      <c r="A6">
        <f>IF(C6&lt;&gt;"", COUNTA($C$2:C6), "")</f>
        <v>5</v>
      </c>
      <c r="B6">
        <v>5</v>
      </c>
      <c r="C6" t="s">
        <v>22</v>
      </c>
      <c r="D6" t="s">
        <v>23</v>
      </c>
      <c r="E6" s="2" t="s">
        <v>399</v>
      </c>
      <c r="F6" t="s">
        <v>24</v>
      </c>
      <c r="G6">
        <f t="shared" si="0"/>
        <v>33</v>
      </c>
      <c r="H6" t="s">
        <v>0</v>
      </c>
      <c r="I6" t="s">
        <v>0</v>
      </c>
      <c r="J6" t="s">
        <v>0</v>
      </c>
      <c r="K6" t="s">
        <v>1</v>
      </c>
      <c r="L6" t="s">
        <v>2</v>
      </c>
      <c r="M6" t="s">
        <v>0</v>
      </c>
      <c r="N6" t="s">
        <v>1</v>
      </c>
      <c r="O6" t="s">
        <v>0</v>
      </c>
      <c r="P6" t="s">
        <v>0</v>
      </c>
      <c r="Q6" t="s">
        <v>2</v>
      </c>
      <c r="R6" t="s">
        <v>1</v>
      </c>
      <c r="S6" t="s">
        <v>8</v>
      </c>
      <c r="T6" t="s">
        <v>2</v>
      </c>
      <c r="U6" t="s">
        <v>2</v>
      </c>
      <c r="V6" t="s">
        <v>0</v>
      </c>
      <c r="W6" t="s">
        <v>0</v>
      </c>
      <c r="X6" t="s">
        <v>2</v>
      </c>
      <c r="Y6" t="s">
        <v>0</v>
      </c>
      <c r="Z6" t="s">
        <v>2</v>
      </c>
      <c r="AA6" t="s">
        <v>0</v>
      </c>
      <c r="AB6" t="s">
        <v>0</v>
      </c>
      <c r="AC6" t="s">
        <v>0</v>
      </c>
      <c r="AD6" t="s">
        <v>2</v>
      </c>
      <c r="AE6" t="s">
        <v>0</v>
      </c>
      <c r="AF6">
        <v>4.8</v>
      </c>
      <c r="AG6">
        <v>8</v>
      </c>
      <c r="AH6" t="s">
        <v>9</v>
      </c>
      <c r="AI6">
        <v>7</v>
      </c>
      <c r="AJ6" t="s">
        <v>9</v>
      </c>
      <c r="AK6">
        <v>8</v>
      </c>
      <c r="AL6" t="s">
        <v>9</v>
      </c>
      <c r="AM6" t="s">
        <v>9</v>
      </c>
      <c r="AN6">
        <v>11</v>
      </c>
      <c r="AO6" t="s">
        <v>11</v>
      </c>
    </row>
    <row r="7" spans="1:41" x14ac:dyDescent="0.25">
      <c r="A7">
        <f>IF(C7&lt;&gt;"", COUNTA($C$2:C7), "")</f>
        <v>6</v>
      </c>
      <c r="B7">
        <v>6</v>
      </c>
      <c r="C7" t="s">
        <v>25</v>
      </c>
      <c r="D7" t="s">
        <v>26</v>
      </c>
      <c r="E7" s="2" t="s">
        <v>398</v>
      </c>
      <c r="F7" t="s">
        <v>27</v>
      </c>
      <c r="G7">
        <f t="shared" si="0"/>
        <v>40</v>
      </c>
      <c r="H7" t="s">
        <v>0</v>
      </c>
      <c r="I7" t="s">
        <v>0</v>
      </c>
      <c r="J7" t="s">
        <v>0</v>
      </c>
      <c r="K7" t="s">
        <v>1</v>
      </c>
      <c r="L7" t="s">
        <v>1</v>
      </c>
      <c r="M7" t="s">
        <v>0</v>
      </c>
      <c r="N7" t="s">
        <v>2</v>
      </c>
      <c r="O7" t="s">
        <v>1</v>
      </c>
      <c r="P7" t="s">
        <v>0</v>
      </c>
      <c r="Q7" t="s">
        <v>1</v>
      </c>
      <c r="R7" t="s">
        <v>1</v>
      </c>
      <c r="S7" t="s">
        <v>2</v>
      </c>
      <c r="T7" t="s">
        <v>8</v>
      </c>
      <c r="U7" t="s">
        <v>8</v>
      </c>
      <c r="V7" t="s">
        <v>0</v>
      </c>
      <c r="W7" t="s">
        <v>0</v>
      </c>
      <c r="X7" t="s">
        <v>2</v>
      </c>
      <c r="Y7" t="s">
        <v>0</v>
      </c>
      <c r="Z7" t="s">
        <v>2</v>
      </c>
      <c r="AA7" t="s">
        <v>1</v>
      </c>
      <c r="AB7" t="s">
        <v>0</v>
      </c>
      <c r="AC7" t="s">
        <v>0</v>
      </c>
      <c r="AD7" t="s">
        <v>8</v>
      </c>
      <c r="AE7" t="s">
        <v>0</v>
      </c>
      <c r="AF7">
        <v>3.3</v>
      </c>
      <c r="AG7">
        <v>5</v>
      </c>
      <c r="AH7" t="s">
        <v>10</v>
      </c>
      <c r="AI7">
        <v>5</v>
      </c>
      <c r="AJ7" t="s">
        <v>10</v>
      </c>
      <c r="AK7">
        <v>6</v>
      </c>
      <c r="AL7" t="s">
        <v>10</v>
      </c>
      <c r="AM7" t="s">
        <v>28</v>
      </c>
      <c r="AN7">
        <v>29</v>
      </c>
      <c r="AO7" t="s">
        <v>11</v>
      </c>
    </row>
    <row r="8" spans="1:41" x14ac:dyDescent="0.25">
      <c r="A8">
        <f>IF(C8&lt;&gt;"", COUNTA($C$2:C8), "")</f>
        <v>7</v>
      </c>
      <c r="B8">
        <v>7</v>
      </c>
      <c r="C8" t="s">
        <v>29</v>
      </c>
      <c r="D8" t="s">
        <v>30</v>
      </c>
      <c r="E8" s="2" t="s">
        <v>397</v>
      </c>
      <c r="F8" t="s">
        <v>14</v>
      </c>
      <c r="G8">
        <f t="shared" si="0"/>
        <v>35</v>
      </c>
      <c r="H8" t="s">
        <v>0</v>
      </c>
      <c r="I8" t="s">
        <v>0</v>
      </c>
      <c r="J8" t="s">
        <v>0</v>
      </c>
      <c r="K8" t="s">
        <v>1</v>
      </c>
      <c r="L8" t="s">
        <v>2</v>
      </c>
      <c r="M8" t="s">
        <v>0</v>
      </c>
      <c r="N8" t="s">
        <v>1</v>
      </c>
      <c r="O8" t="s">
        <v>0</v>
      </c>
      <c r="P8" t="s">
        <v>0</v>
      </c>
      <c r="Q8" t="s">
        <v>2</v>
      </c>
      <c r="R8" t="s">
        <v>1</v>
      </c>
      <c r="S8" t="s">
        <v>2</v>
      </c>
      <c r="T8" t="s">
        <v>2</v>
      </c>
      <c r="U8" t="s">
        <v>2</v>
      </c>
      <c r="V8" t="s">
        <v>0</v>
      </c>
      <c r="W8" t="s">
        <v>0</v>
      </c>
      <c r="X8" t="s">
        <v>2</v>
      </c>
      <c r="Y8" t="s">
        <v>0</v>
      </c>
      <c r="Z8" t="s">
        <v>2</v>
      </c>
      <c r="AA8" t="s">
        <v>0</v>
      </c>
      <c r="AB8" t="s">
        <v>0</v>
      </c>
      <c r="AC8" t="s">
        <v>0</v>
      </c>
      <c r="AD8" t="s">
        <v>2</v>
      </c>
      <c r="AE8" t="s">
        <v>0</v>
      </c>
      <c r="AF8">
        <v>5</v>
      </c>
      <c r="AG8">
        <v>8</v>
      </c>
      <c r="AH8" t="s">
        <v>9</v>
      </c>
      <c r="AI8">
        <v>8</v>
      </c>
      <c r="AJ8" t="s">
        <v>9</v>
      </c>
      <c r="AK8">
        <v>8</v>
      </c>
      <c r="AL8" t="s">
        <v>9</v>
      </c>
      <c r="AM8" t="s">
        <v>9</v>
      </c>
      <c r="AN8">
        <v>1</v>
      </c>
      <c r="AO8" t="s">
        <v>11</v>
      </c>
    </row>
    <row r="9" spans="1:41" ht="18" customHeight="1" x14ac:dyDescent="0.25">
      <c r="A9">
        <f>IF(C9&lt;&gt;"", COUNTA($C$2:C9), "")</f>
        <v>8</v>
      </c>
      <c r="B9">
        <v>8</v>
      </c>
      <c r="C9" t="s">
        <v>31</v>
      </c>
      <c r="D9" t="s">
        <v>32</v>
      </c>
      <c r="E9" s="2" t="s">
        <v>396</v>
      </c>
      <c r="F9" t="s">
        <v>33</v>
      </c>
      <c r="G9">
        <f t="shared" si="0"/>
        <v>50</v>
      </c>
      <c r="H9" t="s">
        <v>0</v>
      </c>
      <c r="I9" t="s">
        <v>0</v>
      </c>
      <c r="J9" t="s">
        <v>1</v>
      </c>
      <c r="K9" t="s">
        <v>1</v>
      </c>
      <c r="L9" t="s">
        <v>0</v>
      </c>
      <c r="M9" t="s">
        <v>0</v>
      </c>
      <c r="N9" t="s">
        <v>0</v>
      </c>
      <c r="O9" t="s">
        <v>1</v>
      </c>
      <c r="P9" t="s">
        <v>0</v>
      </c>
      <c r="Q9" t="s">
        <v>2</v>
      </c>
      <c r="R9" t="s">
        <v>1</v>
      </c>
      <c r="S9" t="s">
        <v>2</v>
      </c>
      <c r="T9" t="s">
        <v>0</v>
      </c>
      <c r="U9" t="s">
        <v>1</v>
      </c>
      <c r="V9" t="s">
        <v>0</v>
      </c>
      <c r="W9" t="s">
        <v>0</v>
      </c>
      <c r="X9" t="s">
        <v>2</v>
      </c>
      <c r="Y9" t="s">
        <v>0</v>
      </c>
      <c r="Z9" t="s">
        <v>2</v>
      </c>
      <c r="AA9" t="s">
        <v>0</v>
      </c>
      <c r="AB9" t="s">
        <v>0</v>
      </c>
      <c r="AC9" t="s">
        <v>0</v>
      </c>
      <c r="AD9" t="s">
        <v>2</v>
      </c>
      <c r="AE9" t="s">
        <v>0</v>
      </c>
      <c r="AF9">
        <v>3.8</v>
      </c>
      <c r="AG9">
        <v>4</v>
      </c>
      <c r="AH9" t="s">
        <v>28</v>
      </c>
      <c r="AI9">
        <v>6</v>
      </c>
      <c r="AJ9" t="s">
        <v>10</v>
      </c>
      <c r="AK9">
        <v>8</v>
      </c>
      <c r="AL9" t="s">
        <v>9</v>
      </c>
      <c r="AM9" t="s">
        <v>10</v>
      </c>
      <c r="AN9">
        <v>23</v>
      </c>
      <c r="AO9" t="s">
        <v>11</v>
      </c>
    </row>
    <row r="10" spans="1:41" x14ac:dyDescent="0.25">
      <c r="A10">
        <f>IF(C10&lt;&gt;"", COUNTA($C$2:C10), "")</f>
        <v>9</v>
      </c>
      <c r="B10">
        <v>9</v>
      </c>
      <c r="C10" t="s">
        <v>34</v>
      </c>
      <c r="D10" t="s">
        <v>35</v>
      </c>
      <c r="E10" s="2" t="s">
        <v>395</v>
      </c>
      <c r="F10" t="s">
        <v>36</v>
      </c>
      <c r="G10">
        <f t="shared" si="0"/>
        <v>38</v>
      </c>
      <c r="H10" t="s">
        <v>0</v>
      </c>
      <c r="I10" t="s">
        <v>2</v>
      </c>
      <c r="J10" t="s">
        <v>0</v>
      </c>
      <c r="K10" t="s">
        <v>1</v>
      </c>
      <c r="L10" t="s">
        <v>2</v>
      </c>
      <c r="M10" t="s">
        <v>0</v>
      </c>
      <c r="N10" t="s">
        <v>1</v>
      </c>
      <c r="O10" t="s">
        <v>0</v>
      </c>
      <c r="P10" t="s">
        <v>0</v>
      </c>
      <c r="Q10" t="s">
        <v>2</v>
      </c>
      <c r="R10" t="s">
        <v>2</v>
      </c>
      <c r="S10" t="s">
        <v>1</v>
      </c>
      <c r="T10" t="s">
        <v>0</v>
      </c>
      <c r="U10" t="s">
        <v>2</v>
      </c>
      <c r="V10" t="s">
        <v>2</v>
      </c>
      <c r="W10" t="s">
        <v>0</v>
      </c>
      <c r="X10" t="s">
        <v>2</v>
      </c>
      <c r="Y10" t="s">
        <v>2</v>
      </c>
      <c r="Z10" t="s">
        <v>0</v>
      </c>
      <c r="AA10" t="s">
        <v>37</v>
      </c>
      <c r="AB10" t="s">
        <v>0</v>
      </c>
      <c r="AC10" t="s">
        <v>0</v>
      </c>
      <c r="AD10" t="s">
        <v>2</v>
      </c>
      <c r="AE10" t="s">
        <v>1</v>
      </c>
      <c r="AF10">
        <v>3.1</v>
      </c>
      <c r="AG10">
        <v>7</v>
      </c>
      <c r="AH10" t="s">
        <v>9</v>
      </c>
      <c r="AI10">
        <v>4</v>
      </c>
      <c r="AJ10" t="s">
        <v>28</v>
      </c>
      <c r="AK10">
        <v>4</v>
      </c>
      <c r="AL10" t="s">
        <v>28</v>
      </c>
      <c r="AM10" t="s">
        <v>28</v>
      </c>
      <c r="AN10">
        <v>30</v>
      </c>
      <c r="AO10" t="s">
        <v>11</v>
      </c>
    </row>
    <row r="11" spans="1:41" x14ac:dyDescent="0.25">
      <c r="A11">
        <f>IF(C11&lt;&gt;"", COUNTA($C$2:C11), "")</f>
        <v>10</v>
      </c>
      <c r="B11">
        <v>10</v>
      </c>
      <c r="C11" t="s">
        <v>38</v>
      </c>
      <c r="D11" t="s">
        <v>39</v>
      </c>
      <c r="E11" s="2" t="s">
        <v>394</v>
      </c>
      <c r="F11" t="s">
        <v>14</v>
      </c>
      <c r="G11">
        <f t="shared" si="0"/>
        <v>35</v>
      </c>
      <c r="H11" t="s">
        <v>0</v>
      </c>
      <c r="I11" t="s">
        <v>0</v>
      </c>
      <c r="J11" t="s">
        <v>0</v>
      </c>
      <c r="K11" t="s">
        <v>1</v>
      </c>
      <c r="L11" t="s">
        <v>2</v>
      </c>
      <c r="M11" t="s">
        <v>0</v>
      </c>
      <c r="N11" t="s">
        <v>1</v>
      </c>
      <c r="O11" t="s">
        <v>0</v>
      </c>
      <c r="P11" t="s">
        <v>0</v>
      </c>
      <c r="Q11" t="s">
        <v>2</v>
      </c>
      <c r="R11" t="s">
        <v>1</v>
      </c>
      <c r="S11" t="s">
        <v>2</v>
      </c>
      <c r="T11" t="s">
        <v>2</v>
      </c>
      <c r="U11" t="s">
        <v>2</v>
      </c>
      <c r="V11" t="s">
        <v>0</v>
      </c>
      <c r="W11" t="s">
        <v>0</v>
      </c>
      <c r="X11" t="s">
        <v>2</v>
      </c>
      <c r="Y11" t="s">
        <v>0</v>
      </c>
      <c r="Z11" t="s">
        <v>2</v>
      </c>
      <c r="AA11" t="s">
        <v>0</v>
      </c>
      <c r="AB11" t="s">
        <v>0</v>
      </c>
      <c r="AC11" t="s">
        <v>0</v>
      </c>
      <c r="AD11" t="s">
        <v>2</v>
      </c>
      <c r="AE11" t="s">
        <v>0</v>
      </c>
      <c r="AF11">
        <v>5</v>
      </c>
      <c r="AG11">
        <v>8</v>
      </c>
      <c r="AH11" t="s">
        <v>9</v>
      </c>
      <c r="AI11">
        <v>8</v>
      </c>
      <c r="AJ11" t="s">
        <v>9</v>
      </c>
      <c r="AK11">
        <v>8</v>
      </c>
      <c r="AL11" t="s">
        <v>9</v>
      </c>
      <c r="AM11" t="s">
        <v>9</v>
      </c>
      <c r="AN11">
        <v>1</v>
      </c>
      <c r="AO11" t="s">
        <v>11</v>
      </c>
    </row>
    <row r="12" spans="1:41" x14ac:dyDescent="0.25">
      <c r="A12">
        <f>IF(C12&lt;&gt;"", COUNTA($C$2:C12), "")</f>
        <v>11</v>
      </c>
      <c r="B12">
        <v>11</v>
      </c>
      <c r="C12" t="s">
        <v>40</v>
      </c>
      <c r="D12" t="s">
        <v>41</v>
      </c>
      <c r="E12" s="2" t="s">
        <v>393</v>
      </c>
      <c r="F12" t="s">
        <v>14</v>
      </c>
      <c r="G12">
        <f t="shared" si="0"/>
        <v>35</v>
      </c>
      <c r="H12" t="s">
        <v>0</v>
      </c>
      <c r="I12" t="s">
        <v>0</v>
      </c>
      <c r="J12" t="s">
        <v>0</v>
      </c>
      <c r="K12" t="s">
        <v>1</v>
      </c>
      <c r="L12" t="s">
        <v>2</v>
      </c>
      <c r="M12" t="s">
        <v>1</v>
      </c>
      <c r="N12" t="s">
        <v>2</v>
      </c>
      <c r="O12" t="s">
        <v>0</v>
      </c>
      <c r="P12" t="s">
        <v>0</v>
      </c>
      <c r="Q12" t="s">
        <v>2</v>
      </c>
      <c r="R12" t="s">
        <v>1</v>
      </c>
      <c r="S12" t="s">
        <v>2</v>
      </c>
      <c r="T12" t="s">
        <v>0</v>
      </c>
      <c r="U12" t="s">
        <v>8</v>
      </c>
      <c r="V12" t="s">
        <v>0</v>
      </c>
      <c r="W12" t="s">
        <v>0</v>
      </c>
      <c r="X12" t="s">
        <v>2</v>
      </c>
      <c r="Y12" t="s">
        <v>0</v>
      </c>
      <c r="Z12" t="s">
        <v>2</v>
      </c>
      <c r="AA12" t="s">
        <v>0</v>
      </c>
      <c r="AB12" t="s">
        <v>0</v>
      </c>
      <c r="AC12" t="s">
        <v>0</v>
      </c>
      <c r="AD12" t="s">
        <v>2</v>
      </c>
      <c r="AE12" t="s">
        <v>0</v>
      </c>
      <c r="AF12">
        <v>4.2</v>
      </c>
      <c r="AG12">
        <v>6</v>
      </c>
      <c r="AH12" t="s">
        <v>10</v>
      </c>
      <c r="AI12">
        <v>6</v>
      </c>
      <c r="AJ12" t="s">
        <v>10</v>
      </c>
      <c r="AK12">
        <v>8</v>
      </c>
      <c r="AL12" t="s">
        <v>9</v>
      </c>
      <c r="AM12" t="s">
        <v>10</v>
      </c>
      <c r="AN12">
        <v>16</v>
      </c>
      <c r="AO12" t="s">
        <v>11</v>
      </c>
    </row>
    <row r="13" spans="1:41" x14ac:dyDescent="0.25">
      <c r="A13">
        <f>IF(C13&lt;&gt;"", COUNTA($C$2:C13), "")</f>
        <v>12</v>
      </c>
      <c r="B13">
        <v>12</v>
      </c>
      <c r="C13" t="s">
        <v>42</v>
      </c>
      <c r="D13" t="s">
        <v>23</v>
      </c>
      <c r="E13" s="2" t="s">
        <v>392</v>
      </c>
      <c r="F13" t="s">
        <v>7</v>
      </c>
      <c r="G13">
        <f t="shared" si="0"/>
        <v>36</v>
      </c>
      <c r="H13" t="s">
        <v>0</v>
      </c>
      <c r="I13" t="s">
        <v>8</v>
      </c>
      <c r="J13" t="s">
        <v>1</v>
      </c>
      <c r="K13" t="s">
        <v>1</v>
      </c>
      <c r="L13" t="s">
        <v>2</v>
      </c>
      <c r="M13" t="s">
        <v>1</v>
      </c>
      <c r="N13" t="s">
        <v>0</v>
      </c>
      <c r="O13" t="s">
        <v>8</v>
      </c>
      <c r="P13" t="s">
        <v>0</v>
      </c>
      <c r="Q13" t="s">
        <v>2</v>
      </c>
      <c r="R13" t="s">
        <v>1</v>
      </c>
      <c r="S13" t="s">
        <v>2</v>
      </c>
      <c r="T13" t="s">
        <v>2</v>
      </c>
      <c r="U13" t="s">
        <v>2</v>
      </c>
      <c r="V13" t="s">
        <v>1</v>
      </c>
      <c r="W13" t="s">
        <v>8</v>
      </c>
      <c r="X13" t="s">
        <v>0</v>
      </c>
      <c r="Y13" t="s">
        <v>0</v>
      </c>
      <c r="Z13" t="s">
        <v>2</v>
      </c>
      <c r="AA13" t="s">
        <v>1</v>
      </c>
      <c r="AB13" t="s">
        <v>1</v>
      </c>
      <c r="AC13" t="s">
        <v>8</v>
      </c>
      <c r="AD13" t="s">
        <v>0</v>
      </c>
      <c r="AE13" t="s">
        <v>2</v>
      </c>
      <c r="AF13">
        <v>2.2999999999999998</v>
      </c>
      <c r="AG13">
        <v>3</v>
      </c>
      <c r="AH13" t="s">
        <v>28</v>
      </c>
      <c r="AI13">
        <v>6</v>
      </c>
      <c r="AJ13" t="s">
        <v>10</v>
      </c>
      <c r="AK13">
        <v>2</v>
      </c>
      <c r="AL13" t="s">
        <v>18</v>
      </c>
      <c r="AM13" t="s">
        <v>18</v>
      </c>
      <c r="AN13">
        <v>32</v>
      </c>
      <c r="AO13" t="s">
        <v>11</v>
      </c>
    </row>
    <row r="14" spans="1:41" x14ac:dyDescent="0.25">
      <c r="A14">
        <f>IF(C14&lt;&gt;"", COUNTA($C$2:C14), "")</f>
        <v>13</v>
      </c>
      <c r="B14">
        <v>13</v>
      </c>
      <c r="C14" t="s">
        <v>43</v>
      </c>
      <c r="D14" t="s">
        <v>44</v>
      </c>
      <c r="E14" s="2" t="s">
        <v>391</v>
      </c>
      <c r="F14" t="s">
        <v>7</v>
      </c>
      <c r="G14">
        <f t="shared" si="0"/>
        <v>36</v>
      </c>
      <c r="H14" t="s">
        <v>0</v>
      </c>
      <c r="I14" t="s">
        <v>0</v>
      </c>
      <c r="J14" t="s">
        <v>0</v>
      </c>
      <c r="K14" t="s">
        <v>1</v>
      </c>
      <c r="L14" t="s">
        <v>2</v>
      </c>
      <c r="M14" t="s">
        <v>0</v>
      </c>
      <c r="N14" t="s">
        <v>1</v>
      </c>
      <c r="O14" t="s">
        <v>0</v>
      </c>
      <c r="P14" t="s">
        <v>0</v>
      </c>
      <c r="Q14" t="s">
        <v>2</v>
      </c>
      <c r="R14" t="s">
        <v>1</v>
      </c>
      <c r="S14" t="s">
        <v>2</v>
      </c>
      <c r="T14" t="s">
        <v>2</v>
      </c>
      <c r="U14" t="s">
        <v>2</v>
      </c>
      <c r="V14" t="s">
        <v>0</v>
      </c>
      <c r="W14" t="s">
        <v>0</v>
      </c>
      <c r="X14" t="s">
        <v>2</v>
      </c>
      <c r="Y14" t="s">
        <v>0</v>
      </c>
      <c r="Z14" t="s">
        <v>2</v>
      </c>
      <c r="AA14" t="s">
        <v>0</v>
      </c>
      <c r="AB14" t="s">
        <v>0</v>
      </c>
      <c r="AC14" t="s">
        <v>0</v>
      </c>
      <c r="AD14" t="s">
        <v>2</v>
      </c>
      <c r="AE14" t="s">
        <v>0</v>
      </c>
      <c r="AF14">
        <v>5</v>
      </c>
      <c r="AG14">
        <v>8</v>
      </c>
      <c r="AH14" t="s">
        <v>9</v>
      </c>
      <c r="AI14">
        <v>8</v>
      </c>
      <c r="AJ14" t="s">
        <v>9</v>
      </c>
      <c r="AK14">
        <v>8</v>
      </c>
      <c r="AL14" t="s">
        <v>9</v>
      </c>
      <c r="AM14" t="s">
        <v>9</v>
      </c>
      <c r="AN14">
        <v>1</v>
      </c>
      <c r="AO14" t="s">
        <v>11</v>
      </c>
    </row>
    <row r="15" spans="1:41" x14ac:dyDescent="0.25">
      <c r="A15">
        <f>IF(C15&lt;&gt;"", COUNTA($C$2:C15), "")</f>
        <v>14</v>
      </c>
      <c r="B15">
        <v>14</v>
      </c>
      <c r="C15" t="s">
        <v>45</v>
      </c>
      <c r="D15" t="s">
        <v>46</v>
      </c>
      <c r="E15" s="2" t="s">
        <v>390</v>
      </c>
      <c r="F15" t="s">
        <v>14</v>
      </c>
      <c r="G15">
        <f t="shared" si="0"/>
        <v>35</v>
      </c>
      <c r="H15" t="s">
        <v>0</v>
      </c>
      <c r="I15" t="s">
        <v>0</v>
      </c>
      <c r="J15" t="s">
        <v>0</v>
      </c>
      <c r="K15" t="s">
        <v>0</v>
      </c>
      <c r="L15" t="s">
        <v>1</v>
      </c>
      <c r="M15" t="s">
        <v>0</v>
      </c>
      <c r="N15" t="s">
        <v>1</v>
      </c>
      <c r="O15" t="s">
        <v>0</v>
      </c>
      <c r="P15" t="s">
        <v>0</v>
      </c>
      <c r="Q15" t="s">
        <v>2</v>
      </c>
      <c r="R15" t="s">
        <v>1</v>
      </c>
      <c r="S15" t="s">
        <v>2</v>
      </c>
      <c r="T15" t="s">
        <v>2</v>
      </c>
      <c r="U15" t="s">
        <v>8</v>
      </c>
      <c r="V15" t="s">
        <v>0</v>
      </c>
      <c r="W15" t="s">
        <v>0</v>
      </c>
      <c r="X15" t="s">
        <v>2</v>
      </c>
      <c r="Y15" t="s">
        <v>2</v>
      </c>
      <c r="Z15" t="s">
        <v>2</v>
      </c>
      <c r="AA15" t="s">
        <v>0</v>
      </c>
      <c r="AB15" t="s">
        <v>0</v>
      </c>
      <c r="AC15" t="s">
        <v>0</v>
      </c>
      <c r="AD15" t="s">
        <v>1</v>
      </c>
      <c r="AE15" t="s">
        <v>0</v>
      </c>
      <c r="AF15">
        <v>4</v>
      </c>
      <c r="AG15">
        <v>6</v>
      </c>
      <c r="AH15" t="s">
        <v>10</v>
      </c>
      <c r="AI15">
        <v>7</v>
      </c>
      <c r="AJ15" t="s">
        <v>9</v>
      </c>
      <c r="AK15">
        <v>6</v>
      </c>
      <c r="AL15" t="s">
        <v>10</v>
      </c>
      <c r="AM15" t="s">
        <v>10</v>
      </c>
      <c r="AN15">
        <v>18</v>
      </c>
      <c r="AO15" t="s">
        <v>11</v>
      </c>
    </row>
    <row r="16" spans="1:41" x14ac:dyDescent="0.25">
      <c r="A16">
        <f>IF(C16&lt;&gt;"", COUNTA($C$2:C16), "")</f>
        <v>15</v>
      </c>
      <c r="B16">
        <v>15</v>
      </c>
      <c r="C16" t="s">
        <v>47</v>
      </c>
      <c r="D16" t="s">
        <v>48</v>
      </c>
      <c r="E16" s="2" t="s">
        <v>389</v>
      </c>
      <c r="F16" t="s">
        <v>49</v>
      </c>
      <c r="G16">
        <f t="shared" si="0"/>
        <v>45</v>
      </c>
      <c r="H16" t="s">
        <v>0</v>
      </c>
      <c r="I16" t="s">
        <v>0</v>
      </c>
      <c r="J16" t="s">
        <v>0</v>
      </c>
      <c r="K16" t="s">
        <v>1</v>
      </c>
      <c r="L16" t="s">
        <v>1</v>
      </c>
      <c r="M16" t="s">
        <v>0</v>
      </c>
      <c r="N16" t="s">
        <v>0</v>
      </c>
      <c r="O16" t="s">
        <v>1</v>
      </c>
      <c r="P16" t="s">
        <v>0</v>
      </c>
      <c r="Q16" t="s">
        <v>2</v>
      </c>
      <c r="R16" t="s">
        <v>1</v>
      </c>
      <c r="S16" t="s">
        <v>2</v>
      </c>
      <c r="T16" t="s">
        <v>2</v>
      </c>
      <c r="U16" t="s">
        <v>2</v>
      </c>
      <c r="V16" t="s">
        <v>0</v>
      </c>
      <c r="W16" t="s">
        <v>0</v>
      </c>
      <c r="X16" t="s">
        <v>2</v>
      </c>
      <c r="Y16" t="s">
        <v>0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>
        <v>3.1</v>
      </c>
      <c r="AG16">
        <v>5</v>
      </c>
      <c r="AH16" t="s">
        <v>10</v>
      </c>
      <c r="AI16">
        <v>8</v>
      </c>
      <c r="AJ16" t="s">
        <v>9</v>
      </c>
      <c r="AK16">
        <v>2</v>
      </c>
      <c r="AL16" t="s">
        <v>18</v>
      </c>
      <c r="AM16" t="s">
        <v>28</v>
      </c>
      <c r="AN16">
        <v>30</v>
      </c>
      <c r="AO16" t="s">
        <v>11</v>
      </c>
    </row>
    <row r="17" spans="1:41" x14ac:dyDescent="0.25">
      <c r="A17">
        <f>IF(C17&lt;&gt;"", COUNTA($C$2:C17), "")</f>
        <v>16</v>
      </c>
      <c r="B17">
        <v>16</v>
      </c>
      <c r="C17" t="s">
        <v>50</v>
      </c>
      <c r="D17" t="s">
        <v>273</v>
      </c>
      <c r="E17" s="2" t="s">
        <v>388</v>
      </c>
      <c r="F17" t="s">
        <v>51</v>
      </c>
      <c r="G17">
        <f t="shared" si="0"/>
        <v>29</v>
      </c>
      <c r="H17" t="s">
        <v>0</v>
      </c>
      <c r="I17" t="s">
        <v>0</v>
      </c>
      <c r="J17" t="s">
        <v>0</v>
      </c>
      <c r="K17" t="s">
        <v>1</v>
      </c>
      <c r="L17" t="s">
        <v>2</v>
      </c>
      <c r="M17" t="s">
        <v>0</v>
      </c>
      <c r="N17" t="s">
        <v>1</v>
      </c>
      <c r="O17" t="s">
        <v>0</v>
      </c>
      <c r="P17" t="s">
        <v>0</v>
      </c>
      <c r="Q17" t="s">
        <v>2</v>
      </c>
      <c r="R17" t="s">
        <v>1</v>
      </c>
      <c r="S17" t="s">
        <v>2</v>
      </c>
      <c r="T17" t="s">
        <v>0</v>
      </c>
      <c r="U17" t="s">
        <v>8</v>
      </c>
      <c r="V17" t="s">
        <v>0</v>
      </c>
      <c r="W17" t="s">
        <v>0</v>
      </c>
      <c r="X17" t="s">
        <v>2</v>
      </c>
      <c r="Y17" t="s">
        <v>0</v>
      </c>
      <c r="Z17" t="s">
        <v>2</v>
      </c>
      <c r="AA17" t="s">
        <v>0</v>
      </c>
      <c r="AB17" t="s">
        <v>0</v>
      </c>
      <c r="AC17" t="s">
        <v>0</v>
      </c>
      <c r="AD17" t="s">
        <v>2</v>
      </c>
      <c r="AE17" t="s">
        <v>0</v>
      </c>
      <c r="AF17">
        <v>4.5999999999999996</v>
      </c>
      <c r="AG17">
        <v>8</v>
      </c>
      <c r="AH17" t="s">
        <v>9</v>
      </c>
      <c r="AI17">
        <v>6</v>
      </c>
      <c r="AJ17" t="s">
        <v>10</v>
      </c>
      <c r="AK17">
        <v>8</v>
      </c>
      <c r="AL17" t="s">
        <v>9</v>
      </c>
      <c r="AM17" t="s">
        <v>9</v>
      </c>
      <c r="AN17">
        <v>12</v>
      </c>
      <c r="AO17" t="s">
        <v>11</v>
      </c>
    </row>
    <row r="18" spans="1:41" x14ac:dyDescent="0.25">
      <c r="A18">
        <f>IF(C18&lt;&gt;"", COUNTA($C$2:C18), "")</f>
        <v>17</v>
      </c>
      <c r="B18">
        <v>17</v>
      </c>
      <c r="C18" t="s">
        <v>52</v>
      </c>
      <c r="D18" t="s">
        <v>53</v>
      </c>
      <c r="E18" s="2" t="s">
        <v>387</v>
      </c>
      <c r="F18" t="s">
        <v>54</v>
      </c>
      <c r="G18">
        <f t="shared" si="0"/>
        <v>34</v>
      </c>
      <c r="H18" t="s">
        <v>0</v>
      </c>
      <c r="I18" t="s">
        <v>0</v>
      </c>
      <c r="J18" t="s">
        <v>0</v>
      </c>
      <c r="K18" t="s">
        <v>1</v>
      </c>
      <c r="L18" t="s">
        <v>2</v>
      </c>
      <c r="M18" t="s">
        <v>0</v>
      </c>
      <c r="N18" t="s">
        <v>1</v>
      </c>
      <c r="O18" t="s">
        <v>0</v>
      </c>
      <c r="P18" t="s">
        <v>0</v>
      </c>
      <c r="Q18" t="s">
        <v>2</v>
      </c>
      <c r="R18" t="s">
        <v>1</v>
      </c>
      <c r="S18" t="s">
        <v>2</v>
      </c>
      <c r="T18" t="s">
        <v>2</v>
      </c>
      <c r="U18" t="s">
        <v>2</v>
      </c>
      <c r="V18" t="s">
        <v>0</v>
      </c>
      <c r="W18" t="s">
        <v>0</v>
      </c>
      <c r="X18" t="s">
        <v>2</v>
      </c>
      <c r="Y18" t="s">
        <v>0</v>
      </c>
      <c r="Z18" t="s">
        <v>2</v>
      </c>
      <c r="AA18" t="s">
        <v>0</v>
      </c>
      <c r="AB18" t="s">
        <v>0</v>
      </c>
      <c r="AC18" t="s">
        <v>0</v>
      </c>
      <c r="AD18" t="s">
        <v>2</v>
      </c>
      <c r="AE18" t="s">
        <v>0</v>
      </c>
      <c r="AF18">
        <v>5</v>
      </c>
      <c r="AG18">
        <v>8</v>
      </c>
      <c r="AH18" t="s">
        <v>9</v>
      </c>
      <c r="AI18">
        <v>8</v>
      </c>
      <c r="AJ18" t="s">
        <v>9</v>
      </c>
      <c r="AK18">
        <v>8</v>
      </c>
      <c r="AL18" t="s">
        <v>9</v>
      </c>
      <c r="AM18" t="s">
        <v>9</v>
      </c>
      <c r="AN18">
        <v>1</v>
      </c>
      <c r="AO18" t="s">
        <v>11</v>
      </c>
    </row>
    <row r="19" spans="1:41" x14ac:dyDescent="0.25">
      <c r="A19">
        <f>IF(C19&lt;&gt;"", COUNTA($C$2:C19), "")</f>
        <v>18</v>
      </c>
      <c r="B19">
        <v>18</v>
      </c>
      <c r="C19" t="s">
        <v>55</v>
      </c>
      <c r="D19" t="s">
        <v>56</v>
      </c>
      <c r="E19" s="2">
        <v>0.39275462962962965</v>
      </c>
      <c r="F19" t="s">
        <v>36</v>
      </c>
      <c r="G19">
        <f t="shared" si="0"/>
        <v>38</v>
      </c>
      <c r="H19" t="s">
        <v>0</v>
      </c>
      <c r="I19" t="s">
        <v>0</v>
      </c>
      <c r="J19" t="s">
        <v>0</v>
      </c>
      <c r="K19" t="s">
        <v>1</v>
      </c>
      <c r="L19" t="s">
        <v>2</v>
      </c>
      <c r="M19" t="s">
        <v>0</v>
      </c>
      <c r="N19" t="s">
        <v>1</v>
      </c>
      <c r="O19" t="s">
        <v>0</v>
      </c>
      <c r="P19" t="s">
        <v>0</v>
      </c>
      <c r="Q19" t="s">
        <v>2</v>
      </c>
      <c r="R19" t="s">
        <v>1</v>
      </c>
      <c r="S19" t="s">
        <v>2</v>
      </c>
      <c r="T19" t="s">
        <v>2</v>
      </c>
      <c r="U19" t="s">
        <v>2</v>
      </c>
      <c r="V19" t="s">
        <v>0</v>
      </c>
      <c r="W19" t="s">
        <v>0</v>
      </c>
      <c r="X19" t="s">
        <v>2</v>
      </c>
      <c r="Y19" t="s">
        <v>0</v>
      </c>
      <c r="Z19" t="s">
        <v>2</v>
      </c>
      <c r="AA19" t="s">
        <v>0</v>
      </c>
      <c r="AB19" t="s">
        <v>0</v>
      </c>
      <c r="AC19" t="s">
        <v>0</v>
      </c>
      <c r="AD19" t="s">
        <v>2</v>
      </c>
      <c r="AE19" t="s">
        <v>0</v>
      </c>
      <c r="AF19">
        <v>5</v>
      </c>
      <c r="AG19">
        <v>8</v>
      </c>
      <c r="AH19" t="s">
        <v>9</v>
      </c>
      <c r="AI19">
        <v>8</v>
      </c>
      <c r="AJ19" t="s">
        <v>9</v>
      </c>
      <c r="AK19">
        <v>8</v>
      </c>
      <c r="AL19" t="s">
        <v>9</v>
      </c>
      <c r="AM19" t="s">
        <v>9</v>
      </c>
      <c r="AN19">
        <v>1</v>
      </c>
      <c r="AO19" t="s">
        <v>11</v>
      </c>
    </row>
    <row r="20" spans="1:41" x14ac:dyDescent="0.25">
      <c r="A20">
        <f>IF(C20&lt;&gt;"", COUNTA($C$2:C20), "")</f>
        <v>19</v>
      </c>
      <c r="B20">
        <v>19</v>
      </c>
      <c r="C20" t="s">
        <v>57</v>
      </c>
      <c r="D20" t="s">
        <v>35</v>
      </c>
      <c r="E20" s="2" t="s">
        <v>386</v>
      </c>
      <c r="F20" t="s">
        <v>27</v>
      </c>
      <c r="G20">
        <f t="shared" si="0"/>
        <v>40</v>
      </c>
      <c r="H20" t="s">
        <v>0</v>
      </c>
      <c r="I20" t="s">
        <v>0</v>
      </c>
      <c r="J20" t="s">
        <v>0</v>
      </c>
      <c r="K20" t="s">
        <v>1</v>
      </c>
      <c r="L20" t="s">
        <v>2</v>
      </c>
      <c r="M20" t="s">
        <v>0</v>
      </c>
      <c r="N20" t="s">
        <v>1</v>
      </c>
      <c r="O20" t="s">
        <v>0</v>
      </c>
      <c r="P20" t="s">
        <v>0</v>
      </c>
      <c r="Q20" t="s">
        <v>2</v>
      </c>
      <c r="R20" t="s">
        <v>1</v>
      </c>
      <c r="S20" t="s">
        <v>2</v>
      </c>
      <c r="T20" t="s">
        <v>2</v>
      </c>
      <c r="U20" t="s">
        <v>2</v>
      </c>
      <c r="V20" t="s">
        <v>0</v>
      </c>
      <c r="W20" t="s">
        <v>0</v>
      </c>
      <c r="X20" t="s">
        <v>2</v>
      </c>
      <c r="Y20" t="s">
        <v>0</v>
      </c>
      <c r="Z20" t="s">
        <v>2</v>
      </c>
      <c r="AA20" t="s">
        <v>0</v>
      </c>
      <c r="AB20" t="s">
        <v>0</v>
      </c>
      <c r="AC20" t="s">
        <v>0</v>
      </c>
      <c r="AD20" t="s">
        <v>2</v>
      </c>
      <c r="AE20" t="s">
        <v>0</v>
      </c>
      <c r="AF20">
        <v>5</v>
      </c>
      <c r="AG20">
        <v>8</v>
      </c>
      <c r="AH20" t="s">
        <v>9</v>
      </c>
      <c r="AI20">
        <v>8</v>
      </c>
      <c r="AJ20" t="s">
        <v>9</v>
      </c>
      <c r="AK20">
        <v>8</v>
      </c>
      <c r="AL20" t="s">
        <v>9</v>
      </c>
      <c r="AM20" t="s">
        <v>9</v>
      </c>
      <c r="AN20">
        <v>1</v>
      </c>
      <c r="AO20" t="s">
        <v>11</v>
      </c>
    </row>
    <row r="21" spans="1:41" x14ac:dyDescent="0.25">
      <c r="A21">
        <f>IF(C21&lt;&gt;"", COUNTA($C$2:C21), "")</f>
        <v>20</v>
      </c>
      <c r="B21">
        <v>20</v>
      </c>
      <c r="C21" t="s">
        <v>58</v>
      </c>
      <c r="D21" t="s">
        <v>59</v>
      </c>
      <c r="E21" s="2" t="s">
        <v>385</v>
      </c>
      <c r="F21" t="s">
        <v>60</v>
      </c>
      <c r="G21">
        <f t="shared" si="0"/>
        <v>41</v>
      </c>
      <c r="H21" t="s">
        <v>0</v>
      </c>
      <c r="I21" t="s">
        <v>0</v>
      </c>
      <c r="J21" t="s">
        <v>0</v>
      </c>
      <c r="K21" t="s">
        <v>1</v>
      </c>
      <c r="L21" t="s">
        <v>8</v>
      </c>
      <c r="M21" t="s">
        <v>0</v>
      </c>
      <c r="N21" t="s">
        <v>2</v>
      </c>
      <c r="O21" t="s">
        <v>1</v>
      </c>
      <c r="P21" t="s">
        <v>0</v>
      </c>
      <c r="Q21" t="s">
        <v>2</v>
      </c>
      <c r="R21" t="s">
        <v>1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2</v>
      </c>
      <c r="Y21" t="s">
        <v>0</v>
      </c>
      <c r="Z21" t="s">
        <v>2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>
        <v>3.5</v>
      </c>
      <c r="AG21">
        <v>5</v>
      </c>
      <c r="AH21" t="s">
        <v>10</v>
      </c>
      <c r="AI21">
        <v>5</v>
      </c>
      <c r="AJ21" t="s">
        <v>10</v>
      </c>
      <c r="AK21">
        <v>7</v>
      </c>
      <c r="AL21" t="s">
        <v>9</v>
      </c>
      <c r="AM21" t="s">
        <v>28</v>
      </c>
      <c r="AN21">
        <v>26</v>
      </c>
      <c r="AO21" t="s">
        <v>11</v>
      </c>
    </row>
    <row r="22" spans="1:41" x14ac:dyDescent="0.25">
      <c r="A22">
        <f>IF(C22&lt;&gt;"", COUNTA($C$2:C22), "")</f>
        <v>21</v>
      </c>
      <c r="B22">
        <v>21</v>
      </c>
      <c r="C22" t="s">
        <v>61</v>
      </c>
      <c r="D22" t="s">
        <v>35</v>
      </c>
      <c r="E22" s="2" t="s">
        <v>384</v>
      </c>
      <c r="F22" t="s">
        <v>27</v>
      </c>
      <c r="G22">
        <f t="shared" si="0"/>
        <v>40</v>
      </c>
      <c r="H22" t="s">
        <v>0</v>
      </c>
      <c r="I22" t="s">
        <v>0</v>
      </c>
      <c r="J22" t="s">
        <v>0</v>
      </c>
      <c r="K22" t="s">
        <v>1</v>
      </c>
      <c r="L22" t="s">
        <v>2</v>
      </c>
      <c r="M22" t="s">
        <v>0</v>
      </c>
      <c r="N22" t="s">
        <v>1</v>
      </c>
      <c r="O22" t="s">
        <v>0</v>
      </c>
      <c r="P22" t="s">
        <v>0</v>
      </c>
      <c r="Q22" t="s">
        <v>2</v>
      </c>
      <c r="R22" t="s">
        <v>1</v>
      </c>
      <c r="S22" t="s">
        <v>2</v>
      </c>
      <c r="T22" t="s">
        <v>2</v>
      </c>
      <c r="U22" t="s">
        <v>2</v>
      </c>
      <c r="V22" t="s">
        <v>0</v>
      </c>
      <c r="W22" t="s">
        <v>0</v>
      </c>
      <c r="X22" t="s">
        <v>2</v>
      </c>
      <c r="Y22" t="s">
        <v>0</v>
      </c>
      <c r="Z22" t="s">
        <v>2</v>
      </c>
      <c r="AA22" t="s">
        <v>0</v>
      </c>
      <c r="AB22" t="s">
        <v>0</v>
      </c>
      <c r="AC22" t="s">
        <v>0</v>
      </c>
      <c r="AD22" t="s">
        <v>2</v>
      </c>
      <c r="AE22" t="s">
        <v>0</v>
      </c>
      <c r="AF22">
        <v>5</v>
      </c>
      <c r="AG22">
        <v>8</v>
      </c>
      <c r="AH22" t="s">
        <v>9</v>
      </c>
      <c r="AI22">
        <v>8</v>
      </c>
      <c r="AJ22" t="s">
        <v>9</v>
      </c>
      <c r="AK22">
        <v>8</v>
      </c>
      <c r="AL22" t="s">
        <v>9</v>
      </c>
      <c r="AM22" t="s">
        <v>9</v>
      </c>
      <c r="AN22">
        <v>1</v>
      </c>
      <c r="AO22" t="s">
        <v>11</v>
      </c>
    </row>
    <row r="23" spans="1:41" x14ac:dyDescent="0.25">
      <c r="A23">
        <f>IF(C23&lt;&gt;"", COUNTA($C$2:C23), "")</f>
        <v>22</v>
      </c>
      <c r="B23">
        <v>22</v>
      </c>
      <c r="C23" t="s">
        <v>62</v>
      </c>
      <c r="D23" t="s">
        <v>63</v>
      </c>
      <c r="E23" s="2" t="s">
        <v>383</v>
      </c>
      <c r="F23" t="s">
        <v>51</v>
      </c>
      <c r="G23">
        <f t="shared" si="0"/>
        <v>29</v>
      </c>
      <c r="H23" t="s">
        <v>0</v>
      </c>
      <c r="I23" t="s">
        <v>0</v>
      </c>
      <c r="J23" t="s">
        <v>8</v>
      </c>
      <c r="K23" t="s">
        <v>1</v>
      </c>
      <c r="L23" t="s">
        <v>1</v>
      </c>
      <c r="M23" t="s">
        <v>0</v>
      </c>
      <c r="N23" t="s">
        <v>2</v>
      </c>
      <c r="O23" t="s">
        <v>1</v>
      </c>
      <c r="P23" t="s">
        <v>0</v>
      </c>
      <c r="Q23" t="s">
        <v>2</v>
      </c>
      <c r="R23" t="s">
        <v>1</v>
      </c>
      <c r="S23" t="s">
        <v>2</v>
      </c>
      <c r="T23" t="s">
        <v>8</v>
      </c>
      <c r="U23" t="s">
        <v>8</v>
      </c>
      <c r="V23" t="s">
        <v>0</v>
      </c>
      <c r="W23" t="s">
        <v>0</v>
      </c>
      <c r="X23" t="s">
        <v>2</v>
      </c>
      <c r="Y23" t="s">
        <v>0</v>
      </c>
      <c r="Z23" t="s">
        <v>2</v>
      </c>
      <c r="AA23" t="s">
        <v>0</v>
      </c>
      <c r="AB23" t="s">
        <v>0</v>
      </c>
      <c r="AC23" t="s">
        <v>0</v>
      </c>
      <c r="AD23" t="s">
        <v>1</v>
      </c>
      <c r="AE23" t="s">
        <v>0</v>
      </c>
      <c r="AF23">
        <v>3.5</v>
      </c>
      <c r="AG23">
        <v>4</v>
      </c>
      <c r="AH23" t="s">
        <v>28</v>
      </c>
      <c r="AI23">
        <v>6</v>
      </c>
      <c r="AJ23" t="s">
        <v>10</v>
      </c>
      <c r="AK23">
        <v>7</v>
      </c>
      <c r="AL23" t="s">
        <v>9</v>
      </c>
      <c r="AM23" t="s">
        <v>28</v>
      </c>
      <c r="AN23">
        <v>26</v>
      </c>
      <c r="AO23" t="s">
        <v>11</v>
      </c>
    </row>
    <row r="24" spans="1:41" x14ac:dyDescent="0.25">
      <c r="A24">
        <f>IF(C24&lt;&gt;"", COUNTA($C$2:C24), "")</f>
        <v>23</v>
      </c>
      <c r="B24">
        <v>23</v>
      </c>
      <c r="C24" t="s">
        <v>64</v>
      </c>
      <c r="D24" t="s">
        <v>5</v>
      </c>
      <c r="E24" s="2" t="s">
        <v>382</v>
      </c>
      <c r="F24" t="s">
        <v>65</v>
      </c>
      <c r="G24">
        <f t="shared" si="0"/>
        <v>44</v>
      </c>
      <c r="H24" t="s">
        <v>0</v>
      </c>
      <c r="I24" t="s">
        <v>0</v>
      </c>
      <c r="J24" t="s">
        <v>0</v>
      </c>
      <c r="K24" t="s">
        <v>1</v>
      </c>
      <c r="L24" t="s">
        <v>2</v>
      </c>
      <c r="M24" t="s">
        <v>0</v>
      </c>
      <c r="N24" t="s">
        <v>2</v>
      </c>
      <c r="O24" t="s">
        <v>0</v>
      </c>
      <c r="P24" t="s">
        <v>0</v>
      </c>
      <c r="Q24" t="s">
        <v>2</v>
      </c>
      <c r="R24" t="s">
        <v>1</v>
      </c>
      <c r="S24" t="s">
        <v>2</v>
      </c>
      <c r="T24" t="s">
        <v>8</v>
      </c>
      <c r="U24" t="s">
        <v>2</v>
      </c>
      <c r="V24" t="s">
        <v>0</v>
      </c>
      <c r="W24" t="s">
        <v>1</v>
      </c>
      <c r="X24" t="s">
        <v>1</v>
      </c>
      <c r="Y24" t="s">
        <v>0</v>
      </c>
      <c r="Z24" t="s">
        <v>2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>
        <v>4</v>
      </c>
      <c r="AG24">
        <v>7</v>
      </c>
      <c r="AH24" t="s">
        <v>9</v>
      </c>
      <c r="AI24">
        <v>6</v>
      </c>
      <c r="AJ24" t="s">
        <v>10</v>
      </c>
      <c r="AK24">
        <v>6</v>
      </c>
      <c r="AL24" t="s">
        <v>10</v>
      </c>
      <c r="AM24" t="s">
        <v>10</v>
      </c>
      <c r="AN24">
        <v>18</v>
      </c>
      <c r="AO24" t="s">
        <v>11</v>
      </c>
    </row>
    <row r="25" spans="1:41" x14ac:dyDescent="0.25">
      <c r="A25">
        <f>IF(C25&lt;&gt;"", COUNTA($C$2:C25), "")</f>
        <v>24</v>
      </c>
      <c r="B25">
        <v>24</v>
      </c>
      <c r="C25" t="s">
        <v>66</v>
      </c>
      <c r="D25" t="s">
        <v>23</v>
      </c>
      <c r="E25" s="2" t="s">
        <v>381</v>
      </c>
      <c r="F25" t="s">
        <v>67</v>
      </c>
      <c r="G25">
        <f t="shared" si="0"/>
        <v>43</v>
      </c>
      <c r="H25" t="s">
        <v>0</v>
      </c>
      <c r="I25" t="s">
        <v>0</v>
      </c>
      <c r="J25" t="s">
        <v>0</v>
      </c>
      <c r="K25" t="s">
        <v>1</v>
      </c>
      <c r="L25" t="s">
        <v>1</v>
      </c>
      <c r="M25" t="s">
        <v>0</v>
      </c>
      <c r="N25" t="s">
        <v>2</v>
      </c>
      <c r="O25" t="s">
        <v>0</v>
      </c>
      <c r="P25" t="s">
        <v>0</v>
      </c>
      <c r="Q25" t="s">
        <v>2</v>
      </c>
      <c r="R25" t="s">
        <v>1</v>
      </c>
      <c r="S25" t="s">
        <v>1</v>
      </c>
      <c r="T25" t="s">
        <v>0</v>
      </c>
      <c r="U25" t="s">
        <v>1</v>
      </c>
      <c r="V25" t="s">
        <v>0</v>
      </c>
      <c r="W25" t="s">
        <v>0</v>
      </c>
      <c r="X25" t="s">
        <v>2</v>
      </c>
      <c r="Y25" t="s">
        <v>0</v>
      </c>
      <c r="Z25" t="s">
        <v>2</v>
      </c>
      <c r="AA25" t="s">
        <v>0</v>
      </c>
      <c r="AB25" t="s">
        <v>2</v>
      </c>
      <c r="AC25" t="s">
        <v>0</v>
      </c>
      <c r="AD25" t="s">
        <v>0</v>
      </c>
      <c r="AE25" t="s">
        <v>0</v>
      </c>
      <c r="AF25">
        <v>3.5</v>
      </c>
      <c r="AG25">
        <v>6</v>
      </c>
      <c r="AH25" t="s">
        <v>10</v>
      </c>
      <c r="AI25">
        <v>5</v>
      </c>
      <c r="AJ25" t="s">
        <v>10</v>
      </c>
      <c r="AK25">
        <v>6</v>
      </c>
      <c r="AL25" t="s">
        <v>10</v>
      </c>
      <c r="AM25" t="s">
        <v>28</v>
      </c>
      <c r="AN25">
        <v>26</v>
      </c>
      <c r="AO25" t="s">
        <v>11</v>
      </c>
    </row>
    <row r="26" spans="1:41" x14ac:dyDescent="0.25">
      <c r="A26">
        <f>IF(C26&lt;&gt;"", COUNTA($C$2:C26), "")</f>
        <v>25</v>
      </c>
      <c r="B26">
        <v>25</v>
      </c>
      <c r="C26" t="s">
        <v>68</v>
      </c>
      <c r="D26" t="s">
        <v>69</v>
      </c>
      <c r="E26" s="2" t="s">
        <v>380</v>
      </c>
      <c r="F26" t="s">
        <v>21</v>
      </c>
      <c r="G26">
        <f t="shared" si="0"/>
        <v>39</v>
      </c>
      <c r="H26" t="s">
        <v>0</v>
      </c>
      <c r="I26" t="s">
        <v>0</v>
      </c>
      <c r="J26" t="s">
        <v>0</v>
      </c>
      <c r="K26" t="s">
        <v>8</v>
      </c>
      <c r="L26" t="s">
        <v>8</v>
      </c>
      <c r="M26" t="s">
        <v>0</v>
      </c>
      <c r="N26" t="s">
        <v>1</v>
      </c>
      <c r="O26" t="s">
        <v>0</v>
      </c>
      <c r="P26" t="s">
        <v>0</v>
      </c>
      <c r="Q26" t="s">
        <v>2</v>
      </c>
      <c r="R26" t="s">
        <v>1</v>
      </c>
      <c r="S26" t="s">
        <v>2</v>
      </c>
      <c r="T26" t="s">
        <v>2</v>
      </c>
      <c r="U26" t="s">
        <v>2</v>
      </c>
      <c r="V26" t="s">
        <v>0</v>
      </c>
      <c r="W26" t="s">
        <v>0</v>
      </c>
      <c r="X26" t="s">
        <v>2</v>
      </c>
      <c r="Y26" t="s">
        <v>0</v>
      </c>
      <c r="Z26" t="s">
        <v>2</v>
      </c>
      <c r="AA26" t="s">
        <v>0</v>
      </c>
      <c r="AB26" t="s">
        <v>0</v>
      </c>
      <c r="AC26" t="s">
        <v>0</v>
      </c>
      <c r="AD26" t="s">
        <v>2</v>
      </c>
      <c r="AE26" t="s">
        <v>0</v>
      </c>
      <c r="AF26">
        <v>4.5999999999999996</v>
      </c>
      <c r="AG26">
        <v>6</v>
      </c>
      <c r="AH26" t="s">
        <v>10</v>
      </c>
      <c r="AI26">
        <v>8</v>
      </c>
      <c r="AJ26" t="s">
        <v>9</v>
      </c>
      <c r="AK26">
        <v>8</v>
      </c>
      <c r="AL26" t="s">
        <v>9</v>
      </c>
      <c r="AM26" t="s">
        <v>9</v>
      </c>
      <c r="AN26">
        <v>12</v>
      </c>
      <c r="AO26" t="s">
        <v>11</v>
      </c>
    </row>
    <row r="27" spans="1:41" x14ac:dyDescent="0.25">
      <c r="A27">
        <f>IF(C27&lt;&gt;"", COUNTA($C$2:C27), "")</f>
        <v>26</v>
      </c>
      <c r="B27">
        <v>26</v>
      </c>
      <c r="C27" t="s">
        <v>70</v>
      </c>
      <c r="D27" t="s">
        <v>71</v>
      </c>
      <c r="E27" s="2" t="s">
        <v>379</v>
      </c>
      <c r="F27" t="s">
        <v>27</v>
      </c>
      <c r="G27">
        <f t="shared" si="0"/>
        <v>40</v>
      </c>
      <c r="H27" t="s">
        <v>0</v>
      </c>
      <c r="I27" t="s">
        <v>0</v>
      </c>
      <c r="J27" t="s">
        <v>0</v>
      </c>
      <c r="K27" t="s">
        <v>1</v>
      </c>
      <c r="L27" t="s">
        <v>2</v>
      </c>
      <c r="M27" t="s">
        <v>0</v>
      </c>
      <c r="N27" t="s">
        <v>2</v>
      </c>
      <c r="O27" t="s">
        <v>1</v>
      </c>
      <c r="P27" t="s">
        <v>0</v>
      </c>
      <c r="Q27" t="s">
        <v>2</v>
      </c>
      <c r="R27" t="s">
        <v>1</v>
      </c>
      <c r="S27" t="s">
        <v>1</v>
      </c>
      <c r="T27" t="s">
        <v>2</v>
      </c>
      <c r="U27" t="s">
        <v>8</v>
      </c>
      <c r="V27" t="s">
        <v>0</v>
      </c>
      <c r="W27" t="s">
        <v>0</v>
      </c>
      <c r="X27" t="s">
        <v>2</v>
      </c>
      <c r="Y27" t="s">
        <v>0</v>
      </c>
      <c r="Z27" t="s">
        <v>2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>
        <v>4</v>
      </c>
      <c r="AG27">
        <v>6</v>
      </c>
      <c r="AH27" t="s">
        <v>10</v>
      </c>
      <c r="AI27">
        <v>6</v>
      </c>
      <c r="AJ27" t="s">
        <v>10</v>
      </c>
      <c r="AK27">
        <v>7</v>
      </c>
      <c r="AL27" t="s">
        <v>9</v>
      </c>
      <c r="AM27" t="s">
        <v>10</v>
      </c>
      <c r="AN27">
        <v>18</v>
      </c>
      <c r="AO27" t="s">
        <v>11</v>
      </c>
    </row>
    <row r="28" spans="1:41" x14ac:dyDescent="0.25">
      <c r="A28">
        <f>IF(C28&lt;&gt;"", COUNTA($C$2:C28), "")</f>
        <v>27</v>
      </c>
      <c r="B28">
        <v>27</v>
      </c>
      <c r="C28" t="s">
        <v>72</v>
      </c>
      <c r="D28" t="s">
        <v>73</v>
      </c>
      <c r="E28" s="2" t="s">
        <v>378</v>
      </c>
      <c r="F28" t="s">
        <v>74</v>
      </c>
      <c r="G28">
        <f t="shared" si="0"/>
        <v>42</v>
      </c>
      <c r="H28" t="s">
        <v>0</v>
      </c>
      <c r="I28" t="s">
        <v>0</v>
      </c>
      <c r="J28" t="s">
        <v>0</v>
      </c>
      <c r="K28" t="s">
        <v>1</v>
      </c>
      <c r="L28" t="s">
        <v>2</v>
      </c>
      <c r="M28" t="s">
        <v>0</v>
      </c>
      <c r="N28" t="s">
        <v>2</v>
      </c>
      <c r="O28" t="s">
        <v>0</v>
      </c>
      <c r="P28" t="s">
        <v>0</v>
      </c>
      <c r="Q28" t="s">
        <v>1</v>
      </c>
      <c r="R28" t="s">
        <v>1</v>
      </c>
      <c r="S28" t="s">
        <v>0</v>
      </c>
      <c r="T28" t="s">
        <v>8</v>
      </c>
      <c r="U28" t="s">
        <v>2</v>
      </c>
      <c r="V28" t="s">
        <v>0</v>
      </c>
      <c r="W28" t="s">
        <v>0</v>
      </c>
      <c r="X28" t="s">
        <v>2</v>
      </c>
      <c r="Y28" t="s">
        <v>0</v>
      </c>
      <c r="Z28" t="s">
        <v>2</v>
      </c>
      <c r="AA28" t="s">
        <v>0</v>
      </c>
      <c r="AB28" t="s">
        <v>0</v>
      </c>
      <c r="AC28" t="s">
        <v>0</v>
      </c>
      <c r="AD28" t="s">
        <v>8</v>
      </c>
      <c r="AE28" t="s">
        <v>0</v>
      </c>
      <c r="AF28">
        <v>4</v>
      </c>
      <c r="AG28">
        <v>7</v>
      </c>
      <c r="AH28" t="s">
        <v>9</v>
      </c>
      <c r="AI28">
        <v>5</v>
      </c>
      <c r="AJ28" t="s">
        <v>10</v>
      </c>
      <c r="AK28">
        <v>7</v>
      </c>
      <c r="AL28" t="s">
        <v>9</v>
      </c>
      <c r="AM28" t="s">
        <v>10</v>
      </c>
      <c r="AN28">
        <v>18</v>
      </c>
      <c r="AO28" t="s">
        <v>11</v>
      </c>
    </row>
    <row r="29" spans="1:41" x14ac:dyDescent="0.25">
      <c r="A29">
        <f>IF(C29&lt;&gt;"", COUNTA($C$2:C29), "")</f>
        <v>28</v>
      </c>
      <c r="B29">
        <v>28</v>
      </c>
      <c r="C29" t="s">
        <v>75</v>
      </c>
      <c r="D29" t="s">
        <v>76</v>
      </c>
      <c r="E29" s="2" t="s">
        <v>377</v>
      </c>
      <c r="F29" t="s">
        <v>67</v>
      </c>
      <c r="G29">
        <f t="shared" si="0"/>
        <v>43</v>
      </c>
      <c r="H29" t="s">
        <v>0</v>
      </c>
      <c r="I29" t="s">
        <v>0</v>
      </c>
      <c r="J29" t="s">
        <v>0</v>
      </c>
      <c r="K29" t="s">
        <v>1</v>
      </c>
      <c r="L29" t="s">
        <v>2</v>
      </c>
      <c r="M29" t="s">
        <v>0</v>
      </c>
      <c r="N29" t="s">
        <v>77</v>
      </c>
      <c r="O29" t="s">
        <v>0</v>
      </c>
      <c r="P29" t="s">
        <v>0</v>
      </c>
      <c r="Q29" t="s">
        <v>2</v>
      </c>
      <c r="R29" t="s">
        <v>1</v>
      </c>
      <c r="S29" t="s">
        <v>2</v>
      </c>
      <c r="T29" t="s">
        <v>0</v>
      </c>
      <c r="U29" t="s">
        <v>2</v>
      </c>
      <c r="V29" t="s">
        <v>0</v>
      </c>
      <c r="W29" t="s">
        <v>0</v>
      </c>
      <c r="X29" t="s">
        <v>2</v>
      </c>
      <c r="Y29" t="s">
        <v>0</v>
      </c>
      <c r="Z29" t="s">
        <v>2</v>
      </c>
      <c r="AA29" t="s">
        <v>37</v>
      </c>
      <c r="AB29" t="s">
        <v>37</v>
      </c>
      <c r="AC29" t="s">
        <v>0</v>
      </c>
      <c r="AD29" t="s">
        <v>2</v>
      </c>
      <c r="AE29" t="s">
        <v>1</v>
      </c>
      <c r="AF29">
        <v>4</v>
      </c>
      <c r="AG29">
        <v>7</v>
      </c>
      <c r="AH29" t="s">
        <v>9</v>
      </c>
      <c r="AI29">
        <v>7</v>
      </c>
      <c r="AJ29" t="s">
        <v>9</v>
      </c>
      <c r="AK29">
        <v>5</v>
      </c>
      <c r="AL29" t="s">
        <v>10</v>
      </c>
      <c r="AM29" t="s">
        <v>10</v>
      </c>
      <c r="AN29">
        <v>18</v>
      </c>
      <c r="AO29" t="s">
        <v>11</v>
      </c>
    </row>
    <row r="30" spans="1:41" x14ac:dyDescent="0.25">
      <c r="A30">
        <f>IF(C30&lt;&gt;"", COUNTA($C$2:C30), "")</f>
        <v>29</v>
      </c>
      <c r="B30">
        <v>29</v>
      </c>
      <c r="C30" t="s">
        <v>78</v>
      </c>
      <c r="D30" t="s">
        <v>79</v>
      </c>
      <c r="E30" s="2" t="s">
        <v>376</v>
      </c>
      <c r="F30" t="s">
        <v>67</v>
      </c>
      <c r="G30">
        <f t="shared" si="0"/>
        <v>43</v>
      </c>
      <c r="H30" t="s">
        <v>0</v>
      </c>
      <c r="I30" t="s">
        <v>0</v>
      </c>
      <c r="J30" t="s">
        <v>0</v>
      </c>
      <c r="K30" t="s">
        <v>1</v>
      </c>
      <c r="L30" t="s">
        <v>1</v>
      </c>
      <c r="M30" t="s">
        <v>0</v>
      </c>
      <c r="N30" t="s">
        <v>2</v>
      </c>
      <c r="O30" t="s">
        <v>0</v>
      </c>
      <c r="P30" t="s">
        <v>0</v>
      </c>
      <c r="Q30" t="s">
        <v>2</v>
      </c>
      <c r="R30" t="s">
        <v>1</v>
      </c>
      <c r="S30" t="s">
        <v>1</v>
      </c>
      <c r="T30" t="s">
        <v>0</v>
      </c>
      <c r="U30" t="s">
        <v>1</v>
      </c>
      <c r="V30" t="s">
        <v>0</v>
      </c>
      <c r="W30" t="s">
        <v>0</v>
      </c>
      <c r="X30" t="s">
        <v>2</v>
      </c>
      <c r="Y30" t="s">
        <v>8</v>
      </c>
      <c r="Z30" t="s">
        <v>2</v>
      </c>
      <c r="AA30" t="s">
        <v>0</v>
      </c>
      <c r="AB30" t="s">
        <v>0</v>
      </c>
      <c r="AC30" t="s">
        <v>0</v>
      </c>
      <c r="AD30" t="s">
        <v>2</v>
      </c>
      <c r="AE30" t="s">
        <v>0</v>
      </c>
      <c r="AF30">
        <v>3.8</v>
      </c>
      <c r="AG30">
        <v>6</v>
      </c>
      <c r="AH30" t="s">
        <v>10</v>
      </c>
      <c r="AI30">
        <v>5</v>
      </c>
      <c r="AJ30" t="s">
        <v>10</v>
      </c>
      <c r="AK30">
        <v>7</v>
      </c>
      <c r="AL30" t="s">
        <v>9</v>
      </c>
      <c r="AM30" t="s">
        <v>10</v>
      </c>
      <c r="AN30">
        <v>23</v>
      </c>
      <c r="AO30" t="s">
        <v>11</v>
      </c>
    </row>
    <row r="31" spans="1:41" x14ac:dyDescent="0.25">
      <c r="A31">
        <f>IF(C31&lt;&gt;"", COUNTA($C$2:C31), "")</f>
        <v>30</v>
      </c>
      <c r="B31">
        <v>30</v>
      </c>
      <c r="C31" t="s">
        <v>80</v>
      </c>
      <c r="D31" t="s">
        <v>81</v>
      </c>
      <c r="E31" s="2" t="s">
        <v>375</v>
      </c>
      <c r="F31" t="s">
        <v>82</v>
      </c>
      <c r="G31">
        <f t="shared" si="0"/>
        <v>37</v>
      </c>
      <c r="H31" t="s">
        <v>0</v>
      </c>
      <c r="I31" t="s">
        <v>0</v>
      </c>
      <c r="J31" t="s">
        <v>0</v>
      </c>
      <c r="K31" t="s">
        <v>1</v>
      </c>
      <c r="L31" t="s">
        <v>2</v>
      </c>
      <c r="M31" t="s">
        <v>0</v>
      </c>
      <c r="N31" t="s">
        <v>1</v>
      </c>
      <c r="O31" t="s">
        <v>0</v>
      </c>
      <c r="P31" t="s">
        <v>0</v>
      </c>
      <c r="Q31" t="s">
        <v>2</v>
      </c>
      <c r="R31" t="s">
        <v>1</v>
      </c>
      <c r="S31" t="s">
        <v>2</v>
      </c>
      <c r="T31" t="s">
        <v>2</v>
      </c>
      <c r="U31" t="s">
        <v>2</v>
      </c>
      <c r="V31" t="s">
        <v>0</v>
      </c>
      <c r="W31" t="s">
        <v>0</v>
      </c>
      <c r="X31" t="s">
        <v>2</v>
      </c>
      <c r="Y31" t="s">
        <v>0</v>
      </c>
      <c r="Z31" t="s">
        <v>2</v>
      </c>
      <c r="AA31" t="s">
        <v>0</v>
      </c>
      <c r="AB31" t="s">
        <v>0</v>
      </c>
      <c r="AC31" t="s">
        <v>0</v>
      </c>
      <c r="AD31" t="s">
        <v>2</v>
      </c>
      <c r="AE31" t="s">
        <v>0</v>
      </c>
      <c r="AF31">
        <v>5</v>
      </c>
      <c r="AG31">
        <v>8</v>
      </c>
      <c r="AH31" t="s">
        <v>9</v>
      </c>
      <c r="AI31">
        <v>8</v>
      </c>
      <c r="AJ31" t="s">
        <v>9</v>
      </c>
      <c r="AK31">
        <v>8</v>
      </c>
      <c r="AL31" t="s">
        <v>9</v>
      </c>
      <c r="AM31" t="s">
        <v>9</v>
      </c>
      <c r="AN31">
        <v>1</v>
      </c>
      <c r="AO31" t="s">
        <v>11</v>
      </c>
    </row>
    <row r="32" spans="1:41" x14ac:dyDescent="0.25">
      <c r="A32">
        <f>IF(C32&lt;&gt;"", COUNTA($C$2:C32), "")</f>
        <v>31</v>
      </c>
      <c r="B32">
        <v>31</v>
      </c>
      <c r="C32" t="s">
        <v>83</v>
      </c>
      <c r="D32" t="s">
        <v>84</v>
      </c>
      <c r="E32" s="2" t="s">
        <v>374</v>
      </c>
      <c r="F32" t="s">
        <v>36</v>
      </c>
      <c r="G32">
        <f t="shared" si="0"/>
        <v>37</v>
      </c>
      <c r="H32" t="s">
        <v>0</v>
      </c>
      <c r="I32" t="s">
        <v>0</v>
      </c>
      <c r="J32" t="s">
        <v>0</v>
      </c>
      <c r="K32" t="s">
        <v>1</v>
      </c>
      <c r="L32" t="s">
        <v>2</v>
      </c>
      <c r="M32" t="s">
        <v>0</v>
      </c>
      <c r="N32" t="s">
        <v>1</v>
      </c>
      <c r="O32" t="s">
        <v>0</v>
      </c>
      <c r="P32" t="s">
        <v>0</v>
      </c>
      <c r="Q32" t="s">
        <v>2</v>
      </c>
      <c r="R32" t="s">
        <v>1</v>
      </c>
      <c r="S32" t="s">
        <v>2</v>
      </c>
      <c r="T32" t="s">
        <v>2</v>
      </c>
      <c r="U32" t="s">
        <v>2</v>
      </c>
      <c r="V32" t="s">
        <v>0</v>
      </c>
      <c r="W32" t="s">
        <v>0</v>
      </c>
      <c r="X32" t="s">
        <v>2</v>
      </c>
      <c r="Y32" t="s">
        <v>0</v>
      </c>
      <c r="Z32" t="s">
        <v>2</v>
      </c>
      <c r="AA32" t="s">
        <v>0</v>
      </c>
      <c r="AB32" t="s">
        <v>0</v>
      </c>
      <c r="AC32" t="s">
        <v>0</v>
      </c>
      <c r="AD32" t="s">
        <v>2</v>
      </c>
      <c r="AE32" t="s">
        <v>0</v>
      </c>
      <c r="AF32">
        <v>5</v>
      </c>
      <c r="AG32">
        <v>8</v>
      </c>
      <c r="AH32" t="s">
        <v>9</v>
      </c>
      <c r="AI32">
        <v>8</v>
      </c>
      <c r="AJ32" t="s">
        <v>9</v>
      </c>
      <c r="AK32">
        <v>8</v>
      </c>
      <c r="AL32" t="s">
        <v>9</v>
      </c>
      <c r="AM32" t="s">
        <v>9</v>
      </c>
      <c r="AN32">
        <v>1</v>
      </c>
      <c r="AO32" t="s">
        <v>11</v>
      </c>
    </row>
    <row r="33" spans="1:41" x14ac:dyDescent="0.25">
      <c r="A33">
        <f>IF(C33&lt;&gt;"", COUNTA($C$2:C33), "")</f>
        <v>32</v>
      </c>
      <c r="B33">
        <v>32</v>
      </c>
      <c r="C33" t="s">
        <v>85</v>
      </c>
      <c r="D33" t="s">
        <v>86</v>
      </c>
      <c r="E33" s="2" t="s">
        <v>373</v>
      </c>
      <c r="F33" t="s">
        <v>82</v>
      </c>
      <c r="G33">
        <f t="shared" si="0"/>
        <v>36</v>
      </c>
      <c r="H33" t="s">
        <v>0</v>
      </c>
      <c r="I33" t="s">
        <v>0</v>
      </c>
      <c r="J33" t="s">
        <v>0</v>
      </c>
      <c r="K33" t="s">
        <v>1</v>
      </c>
      <c r="L33" t="s">
        <v>2</v>
      </c>
      <c r="M33" t="s">
        <v>0</v>
      </c>
      <c r="N33" t="s">
        <v>1</v>
      </c>
      <c r="O33" t="s">
        <v>0</v>
      </c>
      <c r="P33" t="s">
        <v>0</v>
      </c>
      <c r="Q33" t="s">
        <v>2</v>
      </c>
      <c r="R33" t="s">
        <v>1</v>
      </c>
      <c r="S33" t="s">
        <v>2</v>
      </c>
      <c r="T33" t="s">
        <v>2</v>
      </c>
      <c r="U33" t="s">
        <v>2</v>
      </c>
      <c r="V33" t="s">
        <v>0</v>
      </c>
      <c r="W33" t="s">
        <v>0</v>
      </c>
      <c r="X33" t="s">
        <v>2</v>
      </c>
      <c r="Y33" t="s">
        <v>0</v>
      </c>
      <c r="Z33" t="s">
        <v>2</v>
      </c>
      <c r="AA33" t="s">
        <v>0</v>
      </c>
      <c r="AB33" t="s">
        <v>0</v>
      </c>
      <c r="AC33" t="s">
        <v>0</v>
      </c>
      <c r="AD33" t="s">
        <v>2</v>
      </c>
      <c r="AE33" t="s">
        <v>0</v>
      </c>
      <c r="AF33">
        <v>5</v>
      </c>
      <c r="AO33" t="s">
        <v>11</v>
      </c>
    </row>
    <row r="34" spans="1:41" x14ac:dyDescent="0.25">
      <c r="A34">
        <f>IF(C34&lt;&gt;"", COUNTA($C$2:C34), "")</f>
        <v>33</v>
      </c>
      <c r="B34">
        <v>33</v>
      </c>
      <c r="C34" t="s">
        <v>87</v>
      </c>
      <c r="D34" t="s">
        <v>88</v>
      </c>
      <c r="E34" s="2" t="s">
        <v>372</v>
      </c>
      <c r="F34" t="s">
        <v>7</v>
      </c>
      <c r="G34">
        <f t="shared" ref="G34:G64" si="1">ROUND(((HOUR(F34)+MINUTE(F34)/60) - (HOUR(E34)+MINUTE(E34)/60)) * 60,1)</f>
        <v>35</v>
      </c>
      <c r="H34" t="s">
        <v>0</v>
      </c>
      <c r="I34" t="s">
        <v>0</v>
      </c>
      <c r="J34" t="s">
        <v>0</v>
      </c>
      <c r="K34" t="s">
        <v>1</v>
      </c>
      <c r="L34" t="s">
        <v>1</v>
      </c>
      <c r="M34" t="s">
        <v>0</v>
      </c>
      <c r="N34" t="s">
        <v>2</v>
      </c>
      <c r="O34" t="s">
        <v>1</v>
      </c>
      <c r="P34" t="s">
        <v>0</v>
      </c>
      <c r="Q34" t="s">
        <v>2</v>
      </c>
      <c r="R34" t="s">
        <v>1</v>
      </c>
      <c r="S34" t="s">
        <v>1</v>
      </c>
      <c r="T34" t="s">
        <v>2</v>
      </c>
      <c r="U34" t="s">
        <v>8</v>
      </c>
      <c r="V34" t="s">
        <v>0</v>
      </c>
      <c r="W34" t="s">
        <v>0</v>
      </c>
      <c r="X34" t="s">
        <v>2</v>
      </c>
      <c r="Y34" t="s">
        <v>0</v>
      </c>
      <c r="Z34" t="s">
        <v>2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>
        <v>3.8</v>
      </c>
      <c r="AO34" t="s">
        <v>11</v>
      </c>
    </row>
    <row r="35" spans="1:41" x14ac:dyDescent="0.25">
      <c r="A35">
        <f>IF(C35&lt;&gt;"", COUNTA($C$2:C35), "")</f>
        <v>34</v>
      </c>
      <c r="B35">
        <v>2</v>
      </c>
      <c r="C35" t="s">
        <v>92</v>
      </c>
      <c r="D35" t="s">
        <v>93</v>
      </c>
      <c r="E35" t="s">
        <v>6</v>
      </c>
      <c r="F35" t="s">
        <v>36</v>
      </c>
      <c r="G35">
        <f t="shared" si="1"/>
        <v>38</v>
      </c>
      <c r="H35" t="s">
        <v>0</v>
      </c>
      <c r="I35" t="s">
        <v>0</v>
      </c>
      <c r="J35" t="s">
        <v>0</v>
      </c>
      <c r="K35" t="s">
        <v>1</v>
      </c>
      <c r="L35" t="s">
        <v>0</v>
      </c>
      <c r="M35" t="s">
        <v>0</v>
      </c>
      <c r="N35" t="s">
        <v>2</v>
      </c>
      <c r="O35" t="s">
        <v>2</v>
      </c>
      <c r="P35" t="s">
        <v>0</v>
      </c>
      <c r="Q35" t="s">
        <v>2</v>
      </c>
      <c r="R35" t="s">
        <v>1</v>
      </c>
      <c r="S35" t="s">
        <v>2</v>
      </c>
      <c r="T35" t="s">
        <v>2</v>
      </c>
      <c r="U35" t="s">
        <v>8</v>
      </c>
      <c r="V35" t="s">
        <v>0</v>
      </c>
      <c r="W35" t="s">
        <v>0</v>
      </c>
      <c r="X35" t="s">
        <v>2</v>
      </c>
      <c r="Y35" t="s">
        <v>0</v>
      </c>
      <c r="Z35" t="s">
        <v>2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>
        <v>4</v>
      </c>
      <c r="AG35">
        <v>5</v>
      </c>
      <c r="AH35" t="s">
        <v>10</v>
      </c>
      <c r="AI35">
        <v>7</v>
      </c>
      <c r="AJ35" t="s">
        <v>9</v>
      </c>
      <c r="AK35">
        <v>7</v>
      </c>
      <c r="AL35" t="s">
        <v>9</v>
      </c>
      <c r="AM35" t="s">
        <v>10</v>
      </c>
      <c r="AN35">
        <v>24</v>
      </c>
      <c r="AO35" t="s">
        <v>91</v>
      </c>
    </row>
    <row r="36" spans="1:41" x14ac:dyDescent="0.25">
      <c r="A36">
        <f>IF(C36&lt;&gt;"", COUNTA($C$2:C36), "")</f>
        <v>35</v>
      </c>
      <c r="B36">
        <v>3</v>
      </c>
      <c r="C36" t="s">
        <v>94</v>
      </c>
      <c r="D36" t="s">
        <v>95</v>
      </c>
      <c r="E36" t="s">
        <v>6</v>
      </c>
      <c r="F36" t="s">
        <v>27</v>
      </c>
      <c r="G36">
        <f t="shared" si="1"/>
        <v>40</v>
      </c>
      <c r="H36" t="s">
        <v>0</v>
      </c>
      <c r="I36" t="s">
        <v>0</v>
      </c>
      <c r="J36" t="s">
        <v>8</v>
      </c>
      <c r="K36" t="s">
        <v>1</v>
      </c>
      <c r="L36" t="s">
        <v>2</v>
      </c>
      <c r="M36" t="s">
        <v>0</v>
      </c>
      <c r="N36" t="s">
        <v>1</v>
      </c>
      <c r="O36" t="s">
        <v>0</v>
      </c>
      <c r="P36" t="s">
        <v>0</v>
      </c>
      <c r="Q36" t="s">
        <v>2</v>
      </c>
      <c r="R36" t="s">
        <v>1</v>
      </c>
      <c r="S36" t="s">
        <v>2</v>
      </c>
      <c r="T36" t="s">
        <v>2</v>
      </c>
      <c r="U36" t="s">
        <v>2</v>
      </c>
      <c r="V36" t="s">
        <v>0</v>
      </c>
      <c r="W36" t="s">
        <v>0</v>
      </c>
      <c r="X36" t="s">
        <v>2</v>
      </c>
      <c r="Y36" t="s">
        <v>0</v>
      </c>
      <c r="Z36" t="s">
        <v>2</v>
      </c>
      <c r="AA36" t="s">
        <v>0</v>
      </c>
      <c r="AB36" t="s">
        <v>0</v>
      </c>
      <c r="AC36" t="s">
        <v>0</v>
      </c>
      <c r="AD36" t="s">
        <v>2</v>
      </c>
      <c r="AE36" t="s">
        <v>0</v>
      </c>
      <c r="AF36">
        <v>4.8</v>
      </c>
      <c r="AG36">
        <v>7</v>
      </c>
      <c r="AH36" t="s">
        <v>9</v>
      </c>
      <c r="AI36">
        <v>8</v>
      </c>
      <c r="AJ36" t="s">
        <v>9</v>
      </c>
      <c r="AK36">
        <v>8</v>
      </c>
      <c r="AL36" t="s">
        <v>9</v>
      </c>
      <c r="AM36" t="s">
        <v>9</v>
      </c>
      <c r="AN36">
        <v>6</v>
      </c>
      <c r="AO36" t="s">
        <v>91</v>
      </c>
    </row>
    <row r="37" spans="1:41" x14ac:dyDescent="0.25">
      <c r="A37">
        <f>IF(C37&lt;&gt;"", COUNTA($C$2:C37), "")</f>
        <v>36</v>
      </c>
      <c r="B37">
        <v>4</v>
      </c>
      <c r="C37" t="s">
        <v>96</v>
      </c>
      <c r="D37" t="s">
        <v>97</v>
      </c>
      <c r="E37" t="s">
        <v>6</v>
      </c>
      <c r="F37" t="s">
        <v>7</v>
      </c>
      <c r="G37">
        <f t="shared" si="1"/>
        <v>36</v>
      </c>
      <c r="H37" t="s">
        <v>0</v>
      </c>
      <c r="I37" t="s">
        <v>0</v>
      </c>
      <c r="J37" t="s">
        <v>0</v>
      </c>
      <c r="K37" t="s">
        <v>1</v>
      </c>
      <c r="L37" t="s">
        <v>2</v>
      </c>
      <c r="M37" t="s">
        <v>0</v>
      </c>
      <c r="N37" t="s">
        <v>2</v>
      </c>
      <c r="O37" t="s">
        <v>1</v>
      </c>
      <c r="P37" t="s">
        <v>0</v>
      </c>
      <c r="Q37" t="s">
        <v>1</v>
      </c>
      <c r="R37" t="s">
        <v>1</v>
      </c>
      <c r="S37" t="s">
        <v>2</v>
      </c>
      <c r="T37" t="s">
        <v>2</v>
      </c>
      <c r="U37" t="s">
        <v>0</v>
      </c>
      <c r="V37" t="s">
        <v>0</v>
      </c>
      <c r="W37" t="s">
        <v>0</v>
      </c>
      <c r="X37" t="s">
        <v>2</v>
      </c>
      <c r="Y37" t="s">
        <v>0</v>
      </c>
      <c r="Z37" t="s">
        <v>2</v>
      </c>
      <c r="AA37" t="s">
        <v>0</v>
      </c>
      <c r="AB37" t="s">
        <v>0</v>
      </c>
      <c r="AC37" t="s">
        <v>0</v>
      </c>
      <c r="AD37" t="s">
        <v>2</v>
      </c>
      <c r="AE37" t="s">
        <v>0</v>
      </c>
      <c r="AF37">
        <v>4.2</v>
      </c>
      <c r="AG37">
        <v>6</v>
      </c>
      <c r="AH37" t="s">
        <v>10</v>
      </c>
      <c r="AI37">
        <v>6</v>
      </c>
      <c r="AJ37" t="s">
        <v>10</v>
      </c>
      <c r="AK37">
        <v>8</v>
      </c>
      <c r="AL37" t="s">
        <v>9</v>
      </c>
      <c r="AM37" t="s">
        <v>10</v>
      </c>
      <c r="AN37">
        <v>21</v>
      </c>
      <c r="AO37" t="s">
        <v>91</v>
      </c>
    </row>
    <row r="38" spans="1:41" x14ac:dyDescent="0.25">
      <c r="A38">
        <f>IF(C38&lt;&gt;"", COUNTA($C$2:C38), "")</f>
        <v>37</v>
      </c>
      <c r="B38">
        <v>5</v>
      </c>
      <c r="C38" t="s">
        <v>98</v>
      </c>
      <c r="D38" t="s">
        <v>99</v>
      </c>
      <c r="E38" t="s">
        <v>6</v>
      </c>
      <c r="F38" t="s">
        <v>14</v>
      </c>
      <c r="G38">
        <f t="shared" si="1"/>
        <v>35</v>
      </c>
      <c r="H38" t="s">
        <v>0</v>
      </c>
      <c r="I38" t="s">
        <v>0</v>
      </c>
      <c r="J38" t="s">
        <v>0</v>
      </c>
      <c r="K38" t="s">
        <v>1</v>
      </c>
      <c r="L38" t="s">
        <v>2</v>
      </c>
      <c r="M38" t="s">
        <v>0</v>
      </c>
      <c r="N38" t="s">
        <v>2</v>
      </c>
      <c r="O38" t="s">
        <v>0</v>
      </c>
      <c r="P38" t="s">
        <v>0</v>
      </c>
      <c r="Q38" t="s">
        <v>2</v>
      </c>
      <c r="R38" t="s">
        <v>1</v>
      </c>
      <c r="S38" t="s">
        <v>2</v>
      </c>
      <c r="T38" t="s">
        <v>8</v>
      </c>
      <c r="U38" t="s">
        <v>2</v>
      </c>
      <c r="V38" t="s">
        <v>0</v>
      </c>
      <c r="W38" t="s">
        <v>0</v>
      </c>
      <c r="X38" t="s">
        <v>2</v>
      </c>
      <c r="Y38" t="s">
        <v>0</v>
      </c>
      <c r="Z38" t="s">
        <v>2</v>
      </c>
      <c r="AA38" t="s">
        <v>0</v>
      </c>
      <c r="AB38" t="s">
        <v>0</v>
      </c>
      <c r="AC38" t="s">
        <v>0</v>
      </c>
      <c r="AD38" t="s">
        <v>2</v>
      </c>
      <c r="AE38" t="s">
        <v>0</v>
      </c>
      <c r="AF38">
        <v>4.5999999999999996</v>
      </c>
      <c r="AG38">
        <v>7</v>
      </c>
      <c r="AH38" t="s">
        <v>9</v>
      </c>
      <c r="AI38">
        <v>7</v>
      </c>
      <c r="AJ38" t="s">
        <v>9</v>
      </c>
      <c r="AK38">
        <v>8</v>
      </c>
      <c r="AL38" t="s">
        <v>9</v>
      </c>
      <c r="AM38" t="s">
        <v>9</v>
      </c>
      <c r="AN38">
        <v>16</v>
      </c>
      <c r="AO38" t="s">
        <v>91</v>
      </c>
    </row>
    <row r="39" spans="1:41" ht="18.75" customHeight="1" x14ac:dyDescent="0.25">
      <c r="A39">
        <f>IF(C39&lt;&gt;"", COUNTA($C$2:C39), "")</f>
        <v>38</v>
      </c>
      <c r="B39">
        <v>6</v>
      </c>
      <c r="C39" t="s">
        <v>100</v>
      </c>
      <c r="D39" t="s">
        <v>101</v>
      </c>
      <c r="E39" t="s">
        <v>6</v>
      </c>
      <c r="F39" t="s">
        <v>36</v>
      </c>
      <c r="G39">
        <f t="shared" si="1"/>
        <v>38</v>
      </c>
      <c r="H39" t="s">
        <v>0</v>
      </c>
      <c r="I39" t="s">
        <v>0</v>
      </c>
      <c r="J39" t="s">
        <v>0</v>
      </c>
      <c r="K39" t="s">
        <v>1</v>
      </c>
      <c r="L39" t="s">
        <v>2</v>
      </c>
      <c r="M39" t="s">
        <v>0</v>
      </c>
      <c r="N39" t="s">
        <v>1</v>
      </c>
      <c r="O39" t="s">
        <v>0</v>
      </c>
      <c r="P39" t="s">
        <v>0</v>
      </c>
      <c r="Q39" t="s">
        <v>2</v>
      </c>
      <c r="R39" t="s">
        <v>1</v>
      </c>
      <c r="S39" t="s">
        <v>2</v>
      </c>
      <c r="T39" t="s">
        <v>2</v>
      </c>
      <c r="U39" t="s">
        <v>2</v>
      </c>
      <c r="V39" t="s">
        <v>0</v>
      </c>
      <c r="W39" t="s">
        <v>0</v>
      </c>
      <c r="X39" t="s">
        <v>2</v>
      </c>
      <c r="Y39" t="s">
        <v>0</v>
      </c>
      <c r="Z39" t="s">
        <v>2</v>
      </c>
      <c r="AA39" t="s">
        <v>0</v>
      </c>
      <c r="AB39" t="s">
        <v>0</v>
      </c>
      <c r="AC39" t="s">
        <v>0</v>
      </c>
      <c r="AD39" t="s">
        <v>2</v>
      </c>
      <c r="AE39" t="s">
        <v>0</v>
      </c>
      <c r="AF39">
        <v>5</v>
      </c>
      <c r="AG39">
        <v>8</v>
      </c>
      <c r="AH39" t="s">
        <v>9</v>
      </c>
      <c r="AI39">
        <v>8</v>
      </c>
      <c r="AJ39" t="s">
        <v>9</v>
      </c>
      <c r="AK39">
        <v>8</v>
      </c>
      <c r="AL39" t="s">
        <v>9</v>
      </c>
      <c r="AM39" t="s">
        <v>9</v>
      </c>
      <c r="AN39">
        <v>1</v>
      </c>
      <c r="AO39" t="s">
        <v>91</v>
      </c>
    </row>
    <row r="40" spans="1:41" x14ac:dyDescent="0.25">
      <c r="A40">
        <f>IF(C40&lt;&gt;"", COUNTA($C$2:C40), "")</f>
        <v>39</v>
      </c>
      <c r="B40">
        <v>7</v>
      </c>
      <c r="C40" t="s">
        <v>102</v>
      </c>
      <c r="D40" t="s">
        <v>103</v>
      </c>
      <c r="E40" t="s">
        <v>6</v>
      </c>
      <c r="F40" t="s">
        <v>67</v>
      </c>
      <c r="G40">
        <f t="shared" si="1"/>
        <v>43</v>
      </c>
      <c r="H40" t="s">
        <v>0</v>
      </c>
      <c r="I40" t="s">
        <v>0</v>
      </c>
      <c r="J40" t="s">
        <v>0</v>
      </c>
      <c r="K40" t="s">
        <v>1</v>
      </c>
      <c r="L40" t="s">
        <v>2</v>
      </c>
      <c r="M40" t="s">
        <v>0</v>
      </c>
      <c r="N40" t="s">
        <v>2</v>
      </c>
      <c r="O40" t="s">
        <v>0</v>
      </c>
      <c r="P40" t="s">
        <v>0</v>
      </c>
      <c r="Q40" t="s">
        <v>2</v>
      </c>
      <c r="R40" t="s">
        <v>1</v>
      </c>
      <c r="S40" t="s">
        <v>2</v>
      </c>
      <c r="T40" t="s">
        <v>2</v>
      </c>
      <c r="U40" t="s">
        <v>2</v>
      </c>
      <c r="V40" t="s">
        <v>0</v>
      </c>
      <c r="W40" t="s">
        <v>0</v>
      </c>
      <c r="X40" t="s">
        <v>2</v>
      </c>
      <c r="Y40" t="s">
        <v>0</v>
      </c>
      <c r="Z40" t="s">
        <v>2</v>
      </c>
      <c r="AA40" t="s">
        <v>0</v>
      </c>
      <c r="AB40" t="s">
        <v>0</v>
      </c>
      <c r="AC40" t="s">
        <v>0</v>
      </c>
      <c r="AD40" t="s">
        <v>2</v>
      </c>
      <c r="AE40" t="s">
        <v>0</v>
      </c>
      <c r="AF40">
        <v>4.8</v>
      </c>
      <c r="AG40">
        <v>7</v>
      </c>
      <c r="AH40" t="s">
        <v>9</v>
      </c>
      <c r="AI40">
        <v>8</v>
      </c>
      <c r="AJ40" t="s">
        <v>9</v>
      </c>
      <c r="AK40">
        <v>8</v>
      </c>
      <c r="AL40" t="s">
        <v>9</v>
      </c>
      <c r="AM40" t="s">
        <v>9</v>
      </c>
      <c r="AN40">
        <v>6</v>
      </c>
      <c r="AO40" t="s">
        <v>91</v>
      </c>
    </row>
    <row r="41" spans="1:41" x14ac:dyDescent="0.25">
      <c r="A41">
        <f>IF(C41&lt;&gt;"", COUNTA($C$2:C41), "")</f>
        <v>40</v>
      </c>
      <c r="B41">
        <v>8</v>
      </c>
      <c r="C41" t="s">
        <v>104</v>
      </c>
      <c r="D41" t="s">
        <v>105</v>
      </c>
      <c r="E41" t="s">
        <v>6</v>
      </c>
      <c r="F41" t="s">
        <v>106</v>
      </c>
      <c r="G41">
        <f t="shared" si="1"/>
        <v>32</v>
      </c>
      <c r="H41" t="s">
        <v>8</v>
      </c>
      <c r="I41" t="s">
        <v>0</v>
      </c>
      <c r="J41" t="s">
        <v>2</v>
      </c>
      <c r="K41" t="s">
        <v>1</v>
      </c>
      <c r="L41" t="s">
        <v>2</v>
      </c>
      <c r="M41" t="s">
        <v>0</v>
      </c>
      <c r="N41" t="s">
        <v>2</v>
      </c>
      <c r="O41" t="s">
        <v>1</v>
      </c>
      <c r="P41" t="s">
        <v>0</v>
      </c>
      <c r="Q41" t="s">
        <v>2</v>
      </c>
      <c r="R41" t="s">
        <v>1</v>
      </c>
      <c r="S41" t="s">
        <v>2</v>
      </c>
      <c r="T41" t="s">
        <v>8</v>
      </c>
      <c r="U41" t="s">
        <v>2</v>
      </c>
      <c r="V41" t="s">
        <v>0</v>
      </c>
      <c r="W41" t="s">
        <v>0</v>
      </c>
      <c r="X41" t="s">
        <v>1</v>
      </c>
      <c r="Y41" t="s">
        <v>0</v>
      </c>
      <c r="Z41" t="s">
        <v>2</v>
      </c>
      <c r="AA41" t="s">
        <v>0</v>
      </c>
      <c r="AB41" t="s">
        <v>1</v>
      </c>
      <c r="AC41" t="s">
        <v>2</v>
      </c>
      <c r="AD41" t="s">
        <v>0</v>
      </c>
      <c r="AE41" t="s">
        <v>1</v>
      </c>
      <c r="AF41">
        <v>2.9</v>
      </c>
      <c r="AG41">
        <v>4</v>
      </c>
      <c r="AH41" t="s">
        <v>28</v>
      </c>
      <c r="AI41">
        <v>7</v>
      </c>
      <c r="AJ41" t="s">
        <v>9</v>
      </c>
      <c r="AK41">
        <v>3</v>
      </c>
      <c r="AL41" t="s">
        <v>28</v>
      </c>
      <c r="AM41" t="s">
        <v>28</v>
      </c>
      <c r="AN41">
        <v>28</v>
      </c>
      <c r="AO41" t="s">
        <v>91</v>
      </c>
    </row>
    <row r="42" spans="1:41" x14ac:dyDescent="0.25">
      <c r="A42">
        <f>IF(C42&lt;&gt;"", COUNTA($C$2:C42), "")</f>
        <v>41</v>
      </c>
      <c r="B42">
        <v>9</v>
      </c>
      <c r="C42" t="s">
        <v>107</v>
      </c>
      <c r="D42" t="s">
        <v>108</v>
      </c>
      <c r="E42" t="s">
        <v>6</v>
      </c>
      <c r="F42" t="s">
        <v>21</v>
      </c>
      <c r="G42">
        <f t="shared" si="1"/>
        <v>39</v>
      </c>
      <c r="H42" t="s">
        <v>0</v>
      </c>
      <c r="I42" t="s">
        <v>0</v>
      </c>
      <c r="J42" t="s">
        <v>0</v>
      </c>
      <c r="K42" t="s">
        <v>1</v>
      </c>
      <c r="L42" t="s">
        <v>2</v>
      </c>
      <c r="M42" t="s">
        <v>0</v>
      </c>
      <c r="N42" t="s">
        <v>2</v>
      </c>
      <c r="O42" t="s">
        <v>0</v>
      </c>
      <c r="P42" t="s">
        <v>0</v>
      </c>
      <c r="Q42" t="s">
        <v>2</v>
      </c>
      <c r="R42" t="s">
        <v>1</v>
      </c>
      <c r="S42" t="s">
        <v>2</v>
      </c>
      <c r="T42" t="s">
        <v>2</v>
      </c>
      <c r="U42" t="s">
        <v>2</v>
      </c>
      <c r="V42" t="s">
        <v>0</v>
      </c>
      <c r="W42" t="s">
        <v>0</v>
      </c>
      <c r="X42" t="s">
        <v>2</v>
      </c>
      <c r="Y42" t="s">
        <v>0</v>
      </c>
      <c r="Z42" t="s">
        <v>2</v>
      </c>
      <c r="AA42" t="s">
        <v>0</v>
      </c>
      <c r="AB42" t="s">
        <v>0</v>
      </c>
      <c r="AC42" t="s">
        <v>0</v>
      </c>
      <c r="AD42" t="s">
        <v>2</v>
      </c>
      <c r="AE42" t="s">
        <v>0</v>
      </c>
      <c r="AF42">
        <v>4.8</v>
      </c>
      <c r="AG42">
        <v>7</v>
      </c>
      <c r="AH42" t="s">
        <v>9</v>
      </c>
      <c r="AI42">
        <v>8</v>
      </c>
      <c r="AJ42" t="s">
        <v>9</v>
      </c>
      <c r="AK42">
        <v>8</v>
      </c>
      <c r="AL42" t="s">
        <v>9</v>
      </c>
      <c r="AM42" t="s">
        <v>9</v>
      </c>
      <c r="AN42">
        <v>6</v>
      </c>
      <c r="AO42" t="s">
        <v>91</v>
      </c>
    </row>
    <row r="43" spans="1:41" x14ac:dyDescent="0.25">
      <c r="A43">
        <f>IF(C43&lt;&gt;"", COUNTA($C$2:C43), "")</f>
        <v>42</v>
      </c>
      <c r="B43">
        <v>10</v>
      </c>
      <c r="C43" t="s">
        <v>109</v>
      </c>
      <c r="D43" t="s">
        <v>110</v>
      </c>
      <c r="E43" t="s">
        <v>6</v>
      </c>
      <c r="F43" t="s">
        <v>111</v>
      </c>
      <c r="G43">
        <f t="shared" si="1"/>
        <v>31</v>
      </c>
      <c r="H43" t="s">
        <v>0</v>
      </c>
      <c r="I43" t="s">
        <v>0</v>
      </c>
      <c r="J43" t="s">
        <v>0</v>
      </c>
      <c r="K43" t="s">
        <v>1</v>
      </c>
      <c r="L43" t="s">
        <v>1</v>
      </c>
      <c r="M43" t="s">
        <v>0</v>
      </c>
      <c r="N43" t="s">
        <v>2</v>
      </c>
      <c r="O43" t="s">
        <v>8</v>
      </c>
      <c r="P43" t="s">
        <v>0</v>
      </c>
      <c r="Q43" t="s">
        <v>2</v>
      </c>
      <c r="R43" t="s">
        <v>1</v>
      </c>
      <c r="S43" t="s">
        <v>2</v>
      </c>
      <c r="T43" t="s">
        <v>0</v>
      </c>
      <c r="U43" t="s">
        <v>8</v>
      </c>
      <c r="V43" t="s">
        <v>0</v>
      </c>
      <c r="W43" t="s">
        <v>0</v>
      </c>
      <c r="X43" t="s">
        <v>2</v>
      </c>
      <c r="Y43" t="s">
        <v>0</v>
      </c>
      <c r="Z43" t="s">
        <v>2</v>
      </c>
      <c r="AA43" t="s">
        <v>0</v>
      </c>
      <c r="AB43" t="s">
        <v>0</v>
      </c>
      <c r="AC43" t="s">
        <v>0</v>
      </c>
      <c r="AD43" t="s">
        <v>2</v>
      </c>
      <c r="AE43" t="s">
        <v>0</v>
      </c>
      <c r="AF43">
        <v>4</v>
      </c>
      <c r="AG43">
        <v>5</v>
      </c>
      <c r="AH43" t="s">
        <v>10</v>
      </c>
      <c r="AI43">
        <v>6</v>
      </c>
      <c r="AJ43" t="s">
        <v>10</v>
      </c>
      <c r="AK43">
        <v>8</v>
      </c>
      <c r="AL43" t="s">
        <v>9</v>
      </c>
      <c r="AM43" t="s">
        <v>10</v>
      </c>
      <c r="AN43">
        <v>24</v>
      </c>
      <c r="AO43" t="s">
        <v>91</v>
      </c>
    </row>
    <row r="44" spans="1:41" x14ac:dyDescent="0.25">
      <c r="A44">
        <f>IF(C44&lt;&gt;"", COUNTA($C$2:C44), "")</f>
        <v>43</v>
      </c>
      <c r="B44">
        <v>11</v>
      </c>
      <c r="C44" t="s">
        <v>112</v>
      </c>
      <c r="D44" t="s">
        <v>113</v>
      </c>
      <c r="E44" t="s">
        <v>6</v>
      </c>
      <c r="F44" t="s">
        <v>90</v>
      </c>
      <c r="G44">
        <v>0</v>
      </c>
      <c r="H44" t="s">
        <v>0</v>
      </c>
      <c r="I44" t="s">
        <v>0</v>
      </c>
      <c r="J44" t="s">
        <v>0</v>
      </c>
      <c r="K44" t="s">
        <v>1</v>
      </c>
      <c r="L44" t="s">
        <v>2</v>
      </c>
      <c r="M44" t="s">
        <v>0</v>
      </c>
      <c r="N44" t="s">
        <v>2</v>
      </c>
      <c r="O44" t="s">
        <v>0</v>
      </c>
      <c r="P44" t="s">
        <v>0</v>
      </c>
      <c r="Q44" t="s">
        <v>2</v>
      </c>
      <c r="R44" t="s">
        <v>1</v>
      </c>
      <c r="S44" t="s">
        <v>2</v>
      </c>
      <c r="T44" t="s">
        <v>2</v>
      </c>
      <c r="U44" t="s">
        <v>2</v>
      </c>
      <c r="V44" t="s">
        <v>0</v>
      </c>
      <c r="W44" t="s">
        <v>0</v>
      </c>
      <c r="X44" t="s">
        <v>2</v>
      </c>
      <c r="Y44" t="s">
        <v>0</v>
      </c>
      <c r="Z44" t="s">
        <v>2</v>
      </c>
      <c r="AA44" t="s">
        <v>0</v>
      </c>
      <c r="AB44" t="s">
        <v>0</v>
      </c>
      <c r="AC44" t="s">
        <v>0</v>
      </c>
      <c r="AD44" t="s">
        <v>2</v>
      </c>
      <c r="AE44" t="s">
        <v>0</v>
      </c>
      <c r="AF44">
        <v>4.8</v>
      </c>
      <c r="AG44">
        <v>7</v>
      </c>
      <c r="AH44" t="s">
        <v>9</v>
      </c>
      <c r="AI44">
        <v>8</v>
      </c>
      <c r="AJ44" t="s">
        <v>9</v>
      </c>
      <c r="AK44">
        <v>8</v>
      </c>
      <c r="AL44" t="s">
        <v>9</v>
      </c>
      <c r="AM44" t="s">
        <v>9</v>
      </c>
      <c r="AN44">
        <v>6</v>
      </c>
      <c r="AO44" t="s">
        <v>91</v>
      </c>
    </row>
    <row r="45" spans="1:41" x14ac:dyDescent="0.25">
      <c r="A45">
        <f>IF(C45&lt;&gt;"", COUNTA($C$2:C45), "")</f>
        <v>44</v>
      </c>
      <c r="B45">
        <v>12</v>
      </c>
      <c r="C45" t="s">
        <v>114</v>
      </c>
      <c r="D45" t="s">
        <v>115</v>
      </c>
      <c r="E45" t="s">
        <v>6</v>
      </c>
      <c r="F45" t="s">
        <v>14</v>
      </c>
      <c r="G45">
        <f t="shared" si="1"/>
        <v>35</v>
      </c>
      <c r="H45" t="s">
        <v>0</v>
      </c>
      <c r="I45" t="s">
        <v>8</v>
      </c>
      <c r="J45" t="s">
        <v>0</v>
      </c>
      <c r="K45" t="s">
        <v>0</v>
      </c>
      <c r="L45" t="s">
        <v>1</v>
      </c>
      <c r="M45" t="s">
        <v>0</v>
      </c>
      <c r="N45" t="s">
        <v>2</v>
      </c>
      <c r="O45" t="s">
        <v>1</v>
      </c>
      <c r="P45" t="s">
        <v>0</v>
      </c>
      <c r="Q45" t="s">
        <v>2</v>
      </c>
      <c r="R45" t="s">
        <v>1</v>
      </c>
      <c r="S45" t="s">
        <v>2</v>
      </c>
      <c r="T45" t="s">
        <v>0</v>
      </c>
      <c r="U45" t="s">
        <v>77</v>
      </c>
      <c r="V45" t="s">
        <v>0</v>
      </c>
      <c r="W45" t="s">
        <v>0</v>
      </c>
      <c r="X45" t="s">
        <v>2</v>
      </c>
      <c r="Y45" t="s">
        <v>0</v>
      </c>
      <c r="Z45" t="s">
        <v>2</v>
      </c>
      <c r="AA45" t="s">
        <v>0</v>
      </c>
      <c r="AB45" t="s">
        <v>0</v>
      </c>
      <c r="AC45" t="s">
        <v>0</v>
      </c>
      <c r="AD45" t="s">
        <v>2</v>
      </c>
      <c r="AE45" t="s">
        <v>0</v>
      </c>
      <c r="AF45">
        <v>3.5</v>
      </c>
      <c r="AG45">
        <v>3</v>
      </c>
      <c r="AH45" t="s">
        <v>28</v>
      </c>
      <c r="AI45">
        <v>6</v>
      </c>
      <c r="AJ45" t="s">
        <v>10</v>
      </c>
      <c r="AK45">
        <v>8</v>
      </c>
      <c r="AL45" t="s">
        <v>9</v>
      </c>
      <c r="AM45" t="s">
        <v>28</v>
      </c>
      <c r="AN45">
        <v>27</v>
      </c>
      <c r="AO45" t="s">
        <v>91</v>
      </c>
    </row>
    <row r="46" spans="1:41" x14ac:dyDescent="0.25">
      <c r="A46">
        <f>IF(C46&lt;&gt;"", COUNTA($C$2:C46), "")</f>
        <v>45</v>
      </c>
      <c r="B46">
        <v>13</v>
      </c>
      <c r="C46" t="s">
        <v>116</v>
      </c>
      <c r="D46" t="s">
        <v>117</v>
      </c>
      <c r="E46" t="s">
        <v>6</v>
      </c>
      <c r="F46" t="s">
        <v>24</v>
      </c>
      <c r="G46">
        <f t="shared" si="1"/>
        <v>33</v>
      </c>
      <c r="H46" t="s">
        <v>0</v>
      </c>
      <c r="I46" t="s">
        <v>0</v>
      </c>
      <c r="J46" t="s">
        <v>0</v>
      </c>
      <c r="K46" t="s">
        <v>1</v>
      </c>
      <c r="L46" t="s">
        <v>2</v>
      </c>
      <c r="M46" t="s">
        <v>0</v>
      </c>
      <c r="N46" t="s">
        <v>1</v>
      </c>
      <c r="O46" t="s">
        <v>0</v>
      </c>
      <c r="P46" t="s">
        <v>0</v>
      </c>
      <c r="Q46" t="s">
        <v>2</v>
      </c>
      <c r="R46" t="s">
        <v>1</v>
      </c>
      <c r="S46" t="s">
        <v>2</v>
      </c>
      <c r="T46" t="s">
        <v>2</v>
      </c>
      <c r="U46" t="s">
        <v>2</v>
      </c>
      <c r="V46" t="s">
        <v>0</v>
      </c>
      <c r="W46" t="s">
        <v>0</v>
      </c>
      <c r="X46" t="s">
        <v>2</v>
      </c>
      <c r="Y46" t="s">
        <v>0</v>
      </c>
      <c r="Z46" t="s">
        <v>2</v>
      </c>
      <c r="AA46" t="s">
        <v>0</v>
      </c>
      <c r="AB46" t="s">
        <v>0</v>
      </c>
      <c r="AC46" t="s">
        <v>0</v>
      </c>
      <c r="AD46" t="s">
        <v>2</v>
      </c>
      <c r="AE46" t="s">
        <v>0</v>
      </c>
      <c r="AF46">
        <v>5</v>
      </c>
      <c r="AG46">
        <v>8</v>
      </c>
      <c r="AH46" t="s">
        <v>9</v>
      </c>
      <c r="AI46">
        <v>8</v>
      </c>
      <c r="AJ46" t="s">
        <v>9</v>
      </c>
      <c r="AK46">
        <v>8</v>
      </c>
      <c r="AL46" t="s">
        <v>9</v>
      </c>
      <c r="AM46" t="s">
        <v>9</v>
      </c>
      <c r="AN46">
        <v>1</v>
      </c>
      <c r="AO46" t="s">
        <v>91</v>
      </c>
    </row>
    <row r="47" spans="1:41" x14ac:dyDescent="0.25">
      <c r="A47">
        <f>IF(C47&lt;&gt;"", COUNTA($C$2:C47), "")</f>
        <v>46</v>
      </c>
      <c r="B47">
        <v>14</v>
      </c>
      <c r="C47" t="s">
        <v>118</v>
      </c>
      <c r="D47" t="s">
        <v>119</v>
      </c>
      <c r="E47" t="s">
        <v>6</v>
      </c>
      <c r="F47" t="s">
        <v>24</v>
      </c>
      <c r="G47">
        <f t="shared" si="1"/>
        <v>33</v>
      </c>
      <c r="H47" t="s">
        <v>0</v>
      </c>
      <c r="I47" t="s">
        <v>0</v>
      </c>
      <c r="J47" t="s">
        <v>0</v>
      </c>
      <c r="K47" t="s">
        <v>1</v>
      </c>
      <c r="L47" t="s">
        <v>2</v>
      </c>
      <c r="M47" t="s">
        <v>0</v>
      </c>
      <c r="N47" t="s">
        <v>0</v>
      </c>
      <c r="O47" t="s">
        <v>0</v>
      </c>
      <c r="P47" t="s">
        <v>0</v>
      </c>
      <c r="Q47" t="s">
        <v>2</v>
      </c>
      <c r="R47" t="s">
        <v>1</v>
      </c>
      <c r="S47" t="s">
        <v>2</v>
      </c>
      <c r="T47" t="s">
        <v>1</v>
      </c>
      <c r="U47" t="s">
        <v>2</v>
      </c>
      <c r="V47" t="s">
        <v>0</v>
      </c>
      <c r="W47" t="s">
        <v>0</v>
      </c>
      <c r="X47" t="s">
        <v>2</v>
      </c>
      <c r="Y47" t="s">
        <v>0</v>
      </c>
      <c r="Z47" t="s">
        <v>2</v>
      </c>
      <c r="AA47" t="s">
        <v>0</v>
      </c>
      <c r="AB47" t="s">
        <v>0</v>
      </c>
      <c r="AC47" t="s">
        <v>0</v>
      </c>
      <c r="AD47" t="s">
        <v>2</v>
      </c>
      <c r="AE47" t="s">
        <v>0</v>
      </c>
      <c r="AF47">
        <v>4.5999999999999996</v>
      </c>
      <c r="AG47">
        <v>7</v>
      </c>
      <c r="AH47" t="s">
        <v>9</v>
      </c>
      <c r="AI47">
        <v>7</v>
      </c>
      <c r="AJ47" t="s">
        <v>9</v>
      </c>
      <c r="AK47">
        <v>8</v>
      </c>
      <c r="AL47" t="s">
        <v>9</v>
      </c>
      <c r="AM47" t="s">
        <v>9</v>
      </c>
      <c r="AN47">
        <v>16</v>
      </c>
      <c r="AO47" t="s">
        <v>91</v>
      </c>
    </row>
    <row r="48" spans="1:41" x14ac:dyDescent="0.25">
      <c r="A48">
        <f>IF(C48&lt;&gt;"", COUNTA($C$2:C48), "")</f>
        <v>47</v>
      </c>
      <c r="B48">
        <v>15</v>
      </c>
      <c r="C48" t="s">
        <v>120</v>
      </c>
      <c r="D48" t="s">
        <v>121</v>
      </c>
      <c r="E48" t="s">
        <v>6</v>
      </c>
      <c r="F48" t="s">
        <v>49</v>
      </c>
      <c r="G48">
        <f t="shared" si="1"/>
        <v>45</v>
      </c>
      <c r="H48" t="s">
        <v>0</v>
      </c>
      <c r="I48" t="s">
        <v>0</v>
      </c>
      <c r="J48" t="s">
        <v>0</v>
      </c>
      <c r="K48" t="s">
        <v>1</v>
      </c>
      <c r="L48" t="s">
        <v>2</v>
      </c>
      <c r="M48" t="s">
        <v>0</v>
      </c>
      <c r="N48" t="s">
        <v>1</v>
      </c>
      <c r="O48" t="s">
        <v>0</v>
      </c>
      <c r="P48" t="s">
        <v>0</v>
      </c>
      <c r="Q48" t="s">
        <v>2</v>
      </c>
      <c r="R48" t="s">
        <v>1</v>
      </c>
      <c r="S48" t="s">
        <v>2</v>
      </c>
      <c r="T48" t="s">
        <v>2</v>
      </c>
      <c r="U48" t="s">
        <v>2</v>
      </c>
      <c r="V48" t="s">
        <v>0</v>
      </c>
      <c r="W48" t="s">
        <v>0</v>
      </c>
      <c r="X48" t="s">
        <v>2</v>
      </c>
      <c r="Y48" t="s">
        <v>0</v>
      </c>
      <c r="Z48" t="s">
        <v>2</v>
      </c>
      <c r="AA48" t="s">
        <v>0</v>
      </c>
      <c r="AB48" t="s">
        <v>0</v>
      </c>
      <c r="AC48" t="s">
        <v>0</v>
      </c>
      <c r="AD48" t="s">
        <v>2</v>
      </c>
      <c r="AE48" t="s">
        <v>0</v>
      </c>
      <c r="AF48">
        <v>5</v>
      </c>
      <c r="AG48">
        <v>8</v>
      </c>
      <c r="AH48" t="s">
        <v>9</v>
      </c>
      <c r="AI48">
        <v>8</v>
      </c>
      <c r="AJ48" t="s">
        <v>9</v>
      </c>
      <c r="AK48">
        <v>8</v>
      </c>
      <c r="AL48" t="s">
        <v>9</v>
      </c>
      <c r="AM48" t="s">
        <v>9</v>
      </c>
      <c r="AN48">
        <v>1</v>
      </c>
      <c r="AO48" t="s">
        <v>91</v>
      </c>
    </row>
    <row r="49" spans="1:41" x14ac:dyDescent="0.25">
      <c r="A49">
        <f>IF(C49&lt;&gt;"", COUNTA($C$2:C49), "")</f>
        <v>48</v>
      </c>
      <c r="B49">
        <v>16</v>
      </c>
      <c r="C49" t="s">
        <v>122</v>
      </c>
      <c r="D49" t="s">
        <v>123</v>
      </c>
      <c r="E49" t="s">
        <v>6</v>
      </c>
      <c r="F49" t="s">
        <v>54</v>
      </c>
      <c r="G49">
        <f t="shared" si="1"/>
        <v>34</v>
      </c>
      <c r="H49" t="s">
        <v>0</v>
      </c>
      <c r="I49" t="s">
        <v>0</v>
      </c>
      <c r="J49" t="s">
        <v>1</v>
      </c>
      <c r="K49" t="s">
        <v>1</v>
      </c>
      <c r="L49" t="s">
        <v>2</v>
      </c>
      <c r="M49" t="s">
        <v>0</v>
      </c>
      <c r="N49" t="s">
        <v>2</v>
      </c>
      <c r="O49" t="s">
        <v>0</v>
      </c>
      <c r="P49" t="s">
        <v>0</v>
      </c>
      <c r="Q49" t="s">
        <v>2</v>
      </c>
      <c r="R49" t="s">
        <v>1</v>
      </c>
      <c r="S49" t="s">
        <v>2</v>
      </c>
      <c r="T49" t="s">
        <v>8</v>
      </c>
      <c r="U49" t="s">
        <v>8</v>
      </c>
      <c r="V49" t="s">
        <v>0</v>
      </c>
      <c r="W49" t="s">
        <v>0</v>
      </c>
      <c r="X49" t="s">
        <v>2</v>
      </c>
      <c r="Y49" t="s">
        <v>0</v>
      </c>
      <c r="Z49" t="s">
        <v>0</v>
      </c>
      <c r="AA49" t="s">
        <v>1</v>
      </c>
      <c r="AB49" t="s">
        <v>1</v>
      </c>
      <c r="AC49" t="s">
        <v>1</v>
      </c>
      <c r="AD49" t="s">
        <v>0</v>
      </c>
      <c r="AE49" t="s">
        <v>1</v>
      </c>
      <c r="AF49">
        <v>2.9</v>
      </c>
      <c r="AG49">
        <v>6</v>
      </c>
      <c r="AH49" t="s">
        <v>10</v>
      </c>
      <c r="AI49">
        <v>6</v>
      </c>
      <c r="AJ49" t="s">
        <v>10</v>
      </c>
      <c r="AK49">
        <v>2</v>
      </c>
      <c r="AL49" t="s">
        <v>18</v>
      </c>
      <c r="AM49" t="s">
        <v>28</v>
      </c>
      <c r="AN49">
        <v>28</v>
      </c>
      <c r="AO49" t="s">
        <v>91</v>
      </c>
    </row>
    <row r="50" spans="1:41" x14ac:dyDescent="0.25">
      <c r="A50">
        <f>IF(C50&lt;&gt;"", COUNTA($C$2:C50), "")</f>
        <v>49</v>
      </c>
      <c r="B50">
        <v>17</v>
      </c>
      <c r="C50" t="s">
        <v>124</v>
      </c>
      <c r="D50" t="s">
        <v>125</v>
      </c>
      <c r="E50" t="s">
        <v>6</v>
      </c>
      <c r="F50" t="s">
        <v>24</v>
      </c>
      <c r="G50">
        <f t="shared" si="1"/>
        <v>33</v>
      </c>
      <c r="H50" t="s">
        <v>0</v>
      </c>
      <c r="I50" t="s">
        <v>0</v>
      </c>
      <c r="J50" t="s">
        <v>0</v>
      </c>
      <c r="K50" t="s">
        <v>1</v>
      </c>
      <c r="L50" t="s">
        <v>2</v>
      </c>
      <c r="M50" t="s">
        <v>0</v>
      </c>
      <c r="N50" t="s">
        <v>2</v>
      </c>
      <c r="O50" t="s">
        <v>1</v>
      </c>
      <c r="P50" t="s">
        <v>0</v>
      </c>
      <c r="Q50" t="s">
        <v>2</v>
      </c>
      <c r="R50" t="s">
        <v>1</v>
      </c>
      <c r="S50" t="s">
        <v>2</v>
      </c>
      <c r="T50" t="s">
        <v>0</v>
      </c>
      <c r="U50" t="s">
        <v>8</v>
      </c>
      <c r="V50" t="s">
        <v>0</v>
      </c>
      <c r="W50" t="s">
        <v>0</v>
      </c>
      <c r="X50" t="s">
        <v>2</v>
      </c>
      <c r="Y50" t="s">
        <v>0</v>
      </c>
      <c r="Z50" t="s">
        <v>2</v>
      </c>
      <c r="AA50" t="s">
        <v>0</v>
      </c>
      <c r="AB50" t="s">
        <v>0</v>
      </c>
      <c r="AC50" t="s">
        <v>0</v>
      </c>
      <c r="AD50" t="s">
        <v>2</v>
      </c>
      <c r="AE50" t="s">
        <v>0</v>
      </c>
      <c r="AF50">
        <v>4.2</v>
      </c>
      <c r="AG50">
        <v>6</v>
      </c>
      <c r="AH50" t="s">
        <v>10</v>
      </c>
      <c r="AI50">
        <v>6</v>
      </c>
      <c r="AJ50" t="s">
        <v>10</v>
      </c>
      <c r="AK50">
        <v>8</v>
      </c>
      <c r="AL50" t="s">
        <v>9</v>
      </c>
      <c r="AM50" t="s">
        <v>10</v>
      </c>
      <c r="AN50">
        <v>21</v>
      </c>
      <c r="AO50" t="s">
        <v>91</v>
      </c>
    </row>
    <row r="51" spans="1:41" x14ac:dyDescent="0.25">
      <c r="A51">
        <f>IF(C51&lt;&gt;"", COUNTA($C$2:C51), "")</f>
        <v>50</v>
      </c>
      <c r="B51">
        <v>18</v>
      </c>
      <c r="C51" t="s">
        <v>126</v>
      </c>
      <c r="D51" t="s">
        <v>127</v>
      </c>
      <c r="E51" t="s">
        <v>6</v>
      </c>
      <c r="F51" t="s">
        <v>27</v>
      </c>
      <c r="G51">
        <f t="shared" si="1"/>
        <v>40</v>
      </c>
      <c r="H51" t="s">
        <v>0</v>
      </c>
      <c r="I51" t="s">
        <v>0</v>
      </c>
      <c r="J51" t="s">
        <v>0</v>
      </c>
      <c r="K51" t="s">
        <v>1</v>
      </c>
      <c r="L51" t="s">
        <v>2</v>
      </c>
      <c r="M51" t="s">
        <v>0</v>
      </c>
      <c r="N51" t="s">
        <v>2</v>
      </c>
      <c r="O51" t="s">
        <v>0</v>
      </c>
      <c r="P51" t="s">
        <v>0</v>
      </c>
      <c r="Q51" t="s">
        <v>2</v>
      </c>
      <c r="R51" t="s">
        <v>1</v>
      </c>
      <c r="S51" t="s">
        <v>2</v>
      </c>
      <c r="T51" t="s">
        <v>0</v>
      </c>
      <c r="U51" t="s">
        <v>2</v>
      </c>
      <c r="V51" t="s">
        <v>0</v>
      </c>
      <c r="W51" t="s">
        <v>0</v>
      </c>
      <c r="X51" t="s">
        <v>2</v>
      </c>
      <c r="Y51" t="s">
        <v>0</v>
      </c>
      <c r="Z51" t="s">
        <v>2</v>
      </c>
      <c r="AA51" t="s">
        <v>0</v>
      </c>
      <c r="AB51" t="s">
        <v>0</v>
      </c>
      <c r="AC51" t="s">
        <v>0</v>
      </c>
      <c r="AD51" t="s">
        <v>2</v>
      </c>
      <c r="AE51" t="s">
        <v>0</v>
      </c>
      <c r="AF51">
        <v>4.5999999999999996</v>
      </c>
      <c r="AG51">
        <v>7</v>
      </c>
      <c r="AH51" t="s">
        <v>9</v>
      </c>
      <c r="AI51">
        <v>7</v>
      </c>
      <c r="AJ51" t="s">
        <v>9</v>
      </c>
      <c r="AK51">
        <v>8</v>
      </c>
      <c r="AL51" t="s">
        <v>9</v>
      </c>
      <c r="AM51" t="s">
        <v>9</v>
      </c>
      <c r="AN51">
        <v>16</v>
      </c>
      <c r="AO51" t="s">
        <v>91</v>
      </c>
    </row>
    <row r="52" spans="1:41" x14ac:dyDescent="0.25">
      <c r="A52">
        <f>IF(C52&lt;&gt;"", COUNTA($C$2:C52), "")</f>
        <v>51</v>
      </c>
      <c r="B52">
        <v>19</v>
      </c>
      <c r="C52" t="s">
        <v>128</v>
      </c>
      <c r="D52" t="s">
        <v>129</v>
      </c>
      <c r="E52" t="s">
        <v>6</v>
      </c>
      <c r="F52" t="s">
        <v>7</v>
      </c>
      <c r="G52">
        <f t="shared" si="1"/>
        <v>36</v>
      </c>
      <c r="H52" t="s">
        <v>0</v>
      </c>
      <c r="I52" t="s">
        <v>0</v>
      </c>
      <c r="J52" t="s">
        <v>0</v>
      </c>
      <c r="K52" t="s">
        <v>1</v>
      </c>
      <c r="L52" t="s">
        <v>2</v>
      </c>
      <c r="M52" t="s">
        <v>0</v>
      </c>
      <c r="N52" t="s">
        <v>1</v>
      </c>
      <c r="O52" t="s">
        <v>0</v>
      </c>
      <c r="P52" t="s">
        <v>0</v>
      </c>
      <c r="Q52" t="s">
        <v>2</v>
      </c>
      <c r="R52" t="s">
        <v>1</v>
      </c>
      <c r="S52" t="s">
        <v>2</v>
      </c>
      <c r="T52" t="s">
        <v>2</v>
      </c>
      <c r="U52" t="s">
        <v>2</v>
      </c>
      <c r="V52" t="s">
        <v>0</v>
      </c>
      <c r="W52" t="s">
        <v>0</v>
      </c>
      <c r="X52" t="s">
        <v>2</v>
      </c>
      <c r="Y52" t="s">
        <v>0</v>
      </c>
      <c r="Z52" t="s">
        <v>2</v>
      </c>
      <c r="AA52" t="s">
        <v>0</v>
      </c>
      <c r="AB52" t="s">
        <v>0</v>
      </c>
      <c r="AC52" t="s">
        <v>0</v>
      </c>
      <c r="AD52" t="s">
        <v>2</v>
      </c>
      <c r="AE52" t="s">
        <v>0</v>
      </c>
      <c r="AF52">
        <v>5</v>
      </c>
      <c r="AG52">
        <v>8</v>
      </c>
      <c r="AH52" t="s">
        <v>9</v>
      </c>
      <c r="AI52">
        <v>8</v>
      </c>
      <c r="AJ52" t="s">
        <v>9</v>
      </c>
      <c r="AK52">
        <v>8</v>
      </c>
      <c r="AL52" t="s">
        <v>9</v>
      </c>
      <c r="AM52" t="s">
        <v>9</v>
      </c>
      <c r="AN52">
        <v>1</v>
      </c>
      <c r="AO52" t="s">
        <v>91</v>
      </c>
    </row>
    <row r="53" spans="1:41" x14ac:dyDescent="0.25">
      <c r="A53">
        <f>IF(C53&lt;&gt;"", COUNTA($C$2:C53), "")</f>
        <v>52</v>
      </c>
      <c r="B53">
        <v>20</v>
      </c>
      <c r="C53" t="s">
        <v>130</v>
      </c>
      <c r="D53" t="s">
        <v>131</v>
      </c>
      <c r="E53" t="s">
        <v>132</v>
      </c>
      <c r="F53" t="s">
        <v>132</v>
      </c>
      <c r="G53">
        <v>0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  <c r="S53" t="s">
        <v>17</v>
      </c>
      <c r="T53" t="s">
        <v>17</v>
      </c>
      <c r="U53" t="s">
        <v>17</v>
      </c>
      <c r="V53" t="s">
        <v>17</v>
      </c>
      <c r="W53" t="s">
        <v>17</v>
      </c>
      <c r="X53" t="s">
        <v>17</v>
      </c>
      <c r="Y53" t="s">
        <v>17</v>
      </c>
      <c r="Z53" t="s">
        <v>17</v>
      </c>
      <c r="AA53" t="s">
        <v>17</v>
      </c>
      <c r="AB53" t="s">
        <v>17</v>
      </c>
      <c r="AC53" t="s">
        <v>17</v>
      </c>
      <c r="AD53" t="s">
        <v>17</v>
      </c>
      <c r="AE53" t="s">
        <v>17</v>
      </c>
      <c r="AF53">
        <v>0</v>
      </c>
      <c r="AG53">
        <v>0</v>
      </c>
      <c r="AH53" t="s">
        <v>18</v>
      </c>
      <c r="AI53">
        <v>0</v>
      </c>
      <c r="AJ53" t="s">
        <v>18</v>
      </c>
      <c r="AK53">
        <v>0</v>
      </c>
      <c r="AL53" t="s">
        <v>18</v>
      </c>
      <c r="AM53" t="s">
        <v>18</v>
      </c>
      <c r="AN53">
        <v>31</v>
      </c>
      <c r="AO53" t="s">
        <v>91</v>
      </c>
    </row>
    <row r="54" spans="1:41" x14ac:dyDescent="0.25">
      <c r="A54">
        <f>IF(C54&lt;&gt;"", COUNTA($C$2:C54), "")</f>
        <v>53</v>
      </c>
      <c r="B54">
        <v>21</v>
      </c>
      <c r="C54" t="s">
        <v>133</v>
      </c>
      <c r="D54" t="s">
        <v>134</v>
      </c>
      <c r="E54" t="s">
        <v>6</v>
      </c>
      <c r="F54" t="s">
        <v>51</v>
      </c>
      <c r="G54">
        <f t="shared" si="1"/>
        <v>29</v>
      </c>
      <c r="H54" t="s">
        <v>0</v>
      </c>
      <c r="I54" t="s">
        <v>0</v>
      </c>
      <c r="J54" t="s">
        <v>0</v>
      </c>
      <c r="K54" t="s">
        <v>1</v>
      </c>
      <c r="L54" t="s">
        <v>1</v>
      </c>
      <c r="M54" t="s">
        <v>0</v>
      </c>
      <c r="N54" t="s">
        <v>2</v>
      </c>
      <c r="O54" t="s">
        <v>1</v>
      </c>
      <c r="P54" t="s">
        <v>0</v>
      </c>
      <c r="Q54" t="s">
        <v>2</v>
      </c>
      <c r="R54" t="s">
        <v>1</v>
      </c>
      <c r="S54" t="s">
        <v>2</v>
      </c>
      <c r="T54" t="s">
        <v>8</v>
      </c>
      <c r="U54" t="s">
        <v>8</v>
      </c>
      <c r="V54" t="s">
        <v>0</v>
      </c>
      <c r="W54" t="s">
        <v>0</v>
      </c>
      <c r="X54" t="s">
        <v>2</v>
      </c>
      <c r="Y54" t="s">
        <v>0</v>
      </c>
      <c r="Z54" t="s">
        <v>2</v>
      </c>
      <c r="AA54" t="s">
        <v>0</v>
      </c>
      <c r="AB54" t="s">
        <v>0</v>
      </c>
      <c r="AC54" t="s">
        <v>0</v>
      </c>
      <c r="AD54" t="s">
        <v>2</v>
      </c>
      <c r="AE54" t="s">
        <v>0</v>
      </c>
      <c r="AF54">
        <v>4</v>
      </c>
      <c r="AG54">
        <v>5</v>
      </c>
      <c r="AH54" t="s">
        <v>10</v>
      </c>
      <c r="AI54">
        <v>6</v>
      </c>
      <c r="AJ54" t="s">
        <v>10</v>
      </c>
      <c r="AK54">
        <v>8</v>
      </c>
      <c r="AL54" t="s">
        <v>9</v>
      </c>
      <c r="AM54" t="s">
        <v>10</v>
      </c>
      <c r="AN54">
        <v>24</v>
      </c>
      <c r="AO54" t="s">
        <v>91</v>
      </c>
    </row>
    <row r="55" spans="1:41" x14ac:dyDescent="0.25">
      <c r="A55">
        <f>IF(C55&lt;&gt;"", COUNTA($C$2:C55), "")</f>
        <v>54</v>
      </c>
      <c r="B55">
        <v>22</v>
      </c>
      <c r="C55" t="s">
        <v>135</v>
      </c>
      <c r="D55" t="s">
        <v>131</v>
      </c>
      <c r="E55" t="s">
        <v>6</v>
      </c>
      <c r="F55" t="s">
        <v>106</v>
      </c>
      <c r="G55">
        <f t="shared" si="1"/>
        <v>32</v>
      </c>
      <c r="H55" t="s">
        <v>0</v>
      </c>
      <c r="I55" t="s">
        <v>0</v>
      </c>
      <c r="J55" t="s">
        <v>0</v>
      </c>
      <c r="K55" t="s">
        <v>1</v>
      </c>
      <c r="L55" t="s">
        <v>1</v>
      </c>
      <c r="M55" t="s">
        <v>0</v>
      </c>
      <c r="N55" t="s">
        <v>2</v>
      </c>
      <c r="O55" t="s">
        <v>1</v>
      </c>
      <c r="P55" t="s">
        <v>0</v>
      </c>
      <c r="Q55" t="s">
        <v>2</v>
      </c>
      <c r="R55" t="s">
        <v>1</v>
      </c>
      <c r="S55" t="s">
        <v>2</v>
      </c>
      <c r="T55" t="s">
        <v>0</v>
      </c>
      <c r="U55" t="s">
        <v>2</v>
      </c>
      <c r="V55" t="s">
        <v>0</v>
      </c>
      <c r="W55" t="s">
        <v>0</v>
      </c>
      <c r="X55" t="s">
        <v>2</v>
      </c>
      <c r="Y55" t="s">
        <v>0</v>
      </c>
      <c r="Z55" t="s">
        <v>2</v>
      </c>
      <c r="AA55" t="s">
        <v>0</v>
      </c>
      <c r="AB55" t="s">
        <v>0</v>
      </c>
      <c r="AC55" t="s">
        <v>0</v>
      </c>
      <c r="AD55" t="s">
        <v>2</v>
      </c>
      <c r="AE55" t="s">
        <v>0</v>
      </c>
      <c r="AF55">
        <v>4.2</v>
      </c>
      <c r="AG55">
        <v>5</v>
      </c>
      <c r="AH55" t="s">
        <v>10</v>
      </c>
      <c r="AI55">
        <v>7</v>
      </c>
      <c r="AJ55" t="s">
        <v>9</v>
      </c>
      <c r="AK55">
        <v>8</v>
      </c>
      <c r="AL55" t="s">
        <v>9</v>
      </c>
      <c r="AM55" t="s">
        <v>10</v>
      </c>
      <c r="AN55">
        <v>21</v>
      </c>
      <c r="AO55" t="s">
        <v>91</v>
      </c>
    </row>
    <row r="56" spans="1:41" x14ac:dyDescent="0.25">
      <c r="A56">
        <f>IF(C56&lt;&gt;"", COUNTA($C$2:C56), "")</f>
        <v>55</v>
      </c>
      <c r="B56">
        <v>23</v>
      </c>
      <c r="C56" t="s">
        <v>136</v>
      </c>
      <c r="D56" t="s">
        <v>137</v>
      </c>
      <c r="E56" t="s">
        <v>6</v>
      </c>
      <c r="F56" t="s">
        <v>54</v>
      </c>
      <c r="G56">
        <f t="shared" si="1"/>
        <v>34</v>
      </c>
      <c r="H56" t="s">
        <v>0</v>
      </c>
      <c r="I56" t="s">
        <v>0</v>
      </c>
      <c r="J56" t="s">
        <v>0</v>
      </c>
      <c r="K56" t="s">
        <v>1</v>
      </c>
      <c r="L56" t="s">
        <v>2</v>
      </c>
      <c r="M56" t="s">
        <v>0</v>
      </c>
      <c r="N56" t="s">
        <v>1</v>
      </c>
      <c r="O56" t="s">
        <v>0</v>
      </c>
      <c r="P56" t="s">
        <v>0</v>
      </c>
      <c r="Q56" t="s">
        <v>2</v>
      </c>
      <c r="R56" t="s">
        <v>1</v>
      </c>
      <c r="S56" t="s">
        <v>2</v>
      </c>
      <c r="T56" t="s">
        <v>1</v>
      </c>
      <c r="U56" t="s">
        <v>2</v>
      </c>
      <c r="V56" t="s">
        <v>0</v>
      </c>
      <c r="W56" t="s">
        <v>0</v>
      </c>
      <c r="X56" t="s">
        <v>2</v>
      </c>
      <c r="Y56" t="s">
        <v>0</v>
      </c>
      <c r="Z56" t="s">
        <v>2</v>
      </c>
      <c r="AA56" t="s">
        <v>0</v>
      </c>
      <c r="AB56" t="s">
        <v>0</v>
      </c>
      <c r="AC56" t="s">
        <v>0</v>
      </c>
      <c r="AD56" t="s">
        <v>2</v>
      </c>
      <c r="AE56" t="s">
        <v>0</v>
      </c>
      <c r="AF56">
        <v>4.8</v>
      </c>
      <c r="AG56">
        <v>8</v>
      </c>
      <c r="AH56" t="s">
        <v>9</v>
      </c>
      <c r="AI56">
        <v>7</v>
      </c>
      <c r="AJ56" t="s">
        <v>9</v>
      </c>
      <c r="AK56">
        <v>8</v>
      </c>
      <c r="AL56" t="s">
        <v>9</v>
      </c>
      <c r="AM56" t="s">
        <v>9</v>
      </c>
      <c r="AN56">
        <v>6</v>
      </c>
      <c r="AO56" t="s">
        <v>91</v>
      </c>
    </row>
    <row r="57" spans="1:41" x14ac:dyDescent="0.25">
      <c r="A57">
        <f>IF(C57&lt;&gt;"", COUNTA($C$2:C57), "")</f>
        <v>56</v>
      </c>
      <c r="B57">
        <v>24</v>
      </c>
      <c r="C57" t="s">
        <v>138</v>
      </c>
      <c r="D57" t="s">
        <v>139</v>
      </c>
      <c r="E57" t="s">
        <v>6</v>
      </c>
      <c r="F57" t="s">
        <v>111</v>
      </c>
      <c r="G57">
        <f t="shared" si="1"/>
        <v>31</v>
      </c>
      <c r="H57" t="s">
        <v>0</v>
      </c>
      <c r="I57" t="s">
        <v>0</v>
      </c>
      <c r="J57" t="s">
        <v>0</v>
      </c>
      <c r="K57" t="s">
        <v>1</v>
      </c>
      <c r="L57" t="s">
        <v>2</v>
      </c>
      <c r="M57" t="s">
        <v>0</v>
      </c>
      <c r="N57" t="s">
        <v>2</v>
      </c>
      <c r="O57" t="s">
        <v>0</v>
      </c>
      <c r="P57" t="s">
        <v>0</v>
      </c>
      <c r="Q57" t="s">
        <v>2</v>
      </c>
      <c r="R57" t="s">
        <v>1</v>
      </c>
      <c r="S57" t="s">
        <v>2</v>
      </c>
      <c r="T57" t="s">
        <v>2</v>
      </c>
      <c r="U57" t="s">
        <v>2</v>
      </c>
      <c r="V57" t="s">
        <v>0</v>
      </c>
      <c r="W57" t="s">
        <v>0</v>
      </c>
      <c r="X57" t="s">
        <v>2</v>
      </c>
      <c r="Y57" t="s">
        <v>0</v>
      </c>
      <c r="Z57" t="s">
        <v>2</v>
      </c>
      <c r="AA57" t="s">
        <v>0</v>
      </c>
      <c r="AB57" t="s">
        <v>0</v>
      </c>
      <c r="AC57" t="s">
        <v>0</v>
      </c>
      <c r="AD57" t="s">
        <v>2</v>
      </c>
      <c r="AE57" t="s">
        <v>0</v>
      </c>
      <c r="AF57">
        <v>4.8</v>
      </c>
      <c r="AG57">
        <v>7</v>
      </c>
      <c r="AH57" t="s">
        <v>9</v>
      </c>
      <c r="AI57">
        <v>8</v>
      </c>
      <c r="AJ57" t="s">
        <v>9</v>
      </c>
      <c r="AK57">
        <v>8</v>
      </c>
      <c r="AL57" t="s">
        <v>9</v>
      </c>
      <c r="AM57" t="s">
        <v>9</v>
      </c>
      <c r="AN57">
        <v>6</v>
      </c>
      <c r="AO57" t="s">
        <v>91</v>
      </c>
    </row>
    <row r="58" spans="1:41" x14ac:dyDescent="0.25">
      <c r="A58">
        <f>IF(C58&lt;&gt;"", COUNTA($C$2:C58), "")</f>
        <v>57</v>
      </c>
      <c r="B58">
        <v>25</v>
      </c>
      <c r="C58" t="s">
        <v>140</v>
      </c>
      <c r="D58" t="s">
        <v>141</v>
      </c>
      <c r="E58" t="s">
        <v>6</v>
      </c>
      <c r="F58" t="s">
        <v>27</v>
      </c>
      <c r="G58">
        <f t="shared" si="1"/>
        <v>40</v>
      </c>
      <c r="H58" t="s">
        <v>0</v>
      </c>
      <c r="I58" t="s">
        <v>0</v>
      </c>
      <c r="J58" t="s">
        <v>0</v>
      </c>
      <c r="K58" t="s">
        <v>1</v>
      </c>
      <c r="L58" t="s">
        <v>2</v>
      </c>
      <c r="M58" t="s">
        <v>0</v>
      </c>
      <c r="N58" t="s">
        <v>2</v>
      </c>
      <c r="O58" t="s">
        <v>0</v>
      </c>
      <c r="P58" t="s">
        <v>0</v>
      </c>
      <c r="Q58" t="s">
        <v>2</v>
      </c>
      <c r="R58" t="s">
        <v>1</v>
      </c>
      <c r="S58" t="s">
        <v>2</v>
      </c>
      <c r="T58" t="s">
        <v>2</v>
      </c>
      <c r="U58" t="s">
        <v>2</v>
      </c>
      <c r="V58" t="s">
        <v>0</v>
      </c>
      <c r="W58" t="s">
        <v>0</v>
      </c>
      <c r="X58" t="s">
        <v>2</v>
      </c>
      <c r="Y58" t="s">
        <v>0</v>
      </c>
      <c r="Z58" t="s">
        <v>2</v>
      </c>
      <c r="AA58" t="s">
        <v>0</v>
      </c>
      <c r="AB58" t="s">
        <v>0</v>
      </c>
      <c r="AC58" t="s">
        <v>0</v>
      </c>
      <c r="AD58" t="s">
        <v>2</v>
      </c>
      <c r="AE58" t="s">
        <v>0</v>
      </c>
      <c r="AF58">
        <v>4.8</v>
      </c>
      <c r="AG58">
        <v>7</v>
      </c>
      <c r="AH58" t="s">
        <v>9</v>
      </c>
      <c r="AI58">
        <v>8</v>
      </c>
      <c r="AJ58" t="s">
        <v>9</v>
      </c>
      <c r="AK58">
        <v>8</v>
      </c>
      <c r="AL58" t="s">
        <v>9</v>
      </c>
      <c r="AM58" t="s">
        <v>9</v>
      </c>
      <c r="AN58">
        <v>6</v>
      </c>
      <c r="AO58" t="s">
        <v>91</v>
      </c>
    </row>
    <row r="59" spans="1:41" x14ac:dyDescent="0.25">
      <c r="A59">
        <f>IF(C59&lt;&gt;"", COUNTA($C$2:C59), "")</f>
        <v>58</v>
      </c>
      <c r="B59">
        <v>26</v>
      </c>
      <c r="C59" t="s">
        <v>142</v>
      </c>
      <c r="D59" t="s">
        <v>108</v>
      </c>
      <c r="E59" t="s">
        <v>6</v>
      </c>
      <c r="F59" t="s">
        <v>60</v>
      </c>
      <c r="G59">
        <f t="shared" si="1"/>
        <v>41</v>
      </c>
      <c r="H59" t="s">
        <v>0</v>
      </c>
      <c r="I59" t="s">
        <v>0</v>
      </c>
      <c r="J59" t="s">
        <v>0</v>
      </c>
      <c r="K59" t="s">
        <v>1</v>
      </c>
      <c r="L59" t="s">
        <v>2</v>
      </c>
      <c r="M59" t="s">
        <v>0</v>
      </c>
      <c r="N59" t="s">
        <v>1</v>
      </c>
      <c r="O59" t="s">
        <v>0</v>
      </c>
      <c r="P59" t="s">
        <v>0</v>
      </c>
      <c r="Q59" t="s">
        <v>1</v>
      </c>
      <c r="R59" t="s">
        <v>1</v>
      </c>
      <c r="S59" t="s">
        <v>2</v>
      </c>
      <c r="T59" t="s">
        <v>2</v>
      </c>
      <c r="U59" t="s">
        <v>2</v>
      </c>
      <c r="V59" t="s">
        <v>0</v>
      </c>
      <c r="W59" t="s">
        <v>0</v>
      </c>
      <c r="X59" t="s">
        <v>2</v>
      </c>
      <c r="Y59" t="s">
        <v>0</v>
      </c>
      <c r="Z59" t="s">
        <v>2</v>
      </c>
      <c r="AA59" t="s">
        <v>0</v>
      </c>
      <c r="AB59" t="s">
        <v>0</v>
      </c>
      <c r="AC59" t="s">
        <v>0</v>
      </c>
      <c r="AD59" t="s">
        <v>2</v>
      </c>
      <c r="AE59" t="s">
        <v>0</v>
      </c>
      <c r="AF59">
        <v>4.8</v>
      </c>
      <c r="AG59">
        <v>8</v>
      </c>
      <c r="AH59" t="s">
        <v>9</v>
      </c>
      <c r="AI59">
        <v>7</v>
      </c>
      <c r="AJ59" t="s">
        <v>9</v>
      </c>
      <c r="AK59">
        <v>8</v>
      </c>
      <c r="AL59" t="s">
        <v>9</v>
      </c>
      <c r="AM59" t="s">
        <v>9</v>
      </c>
      <c r="AN59">
        <v>6</v>
      </c>
      <c r="AO59" t="s">
        <v>91</v>
      </c>
    </row>
    <row r="60" spans="1:41" x14ac:dyDescent="0.25">
      <c r="A60">
        <f>IF(C60&lt;&gt;"", COUNTA($C$2:C60), "")</f>
        <v>59</v>
      </c>
      <c r="B60">
        <v>27</v>
      </c>
      <c r="C60" t="s">
        <v>143</v>
      </c>
      <c r="D60" t="s">
        <v>95</v>
      </c>
      <c r="E60" t="s">
        <v>6</v>
      </c>
      <c r="F60" t="s">
        <v>106</v>
      </c>
      <c r="G60">
        <f t="shared" si="1"/>
        <v>32</v>
      </c>
      <c r="H60" t="s">
        <v>0</v>
      </c>
      <c r="I60" t="s">
        <v>0</v>
      </c>
      <c r="J60" t="s">
        <v>0</v>
      </c>
      <c r="K60" t="s">
        <v>1</v>
      </c>
      <c r="L60" t="s">
        <v>2</v>
      </c>
      <c r="M60" t="s">
        <v>0</v>
      </c>
      <c r="N60" t="s">
        <v>2</v>
      </c>
      <c r="O60" t="s">
        <v>0</v>
      </c>
      <c r="P60" t="s">
        <v>0</v>
      </c>
      <c r="Q60" t="s">
        <v>2</v>
      </c>
      <c r="R60" t="s">
        <v>1</v>
      </c>
      <c r="S60" t="s">
        <v>2</v>
      </c>
      <c r="T60" t="s">
        <v>2</v>
      </c>
      <c r="U60" t="s">
        <v>2</v>
      </c>
      <c r="V60" t="s">
        <v>0</v>
      </c>
      <c r="W60" t="s">
        <v>0</v>
      </c>
      <c r="X60" t="s">
        <v>2</v>
      </c>
      <c r="Y60" t="s">
        <v>0</v>
      </c>
      <c r="Z60" t="s">
        <v>2</v>
      </c>
      <c r="AA60" t="s">
        <v>0</v>
      </c>
      <c r="AB60" t="s">
        <v>0</v>
      </c>
      <c r="AC60" t="s">
        <v>0</v>
      </c>
      <c r="AD60" t="s">
        <v>2</v>
      </c>
      <c r="AE60" t="s">
        <v>0</v>
      </c>
      <c r="AF60">
        <v>4.8</v>
      </c>
      <c r="AG60">
        <v>7</v>
      </c>
      <c r="AH60" t="s">
        <v>9</v>
      </c>
      <c r="AI60">
        <v>8</v>
      </c>
      <c r="AJ60" t="s">
        <v>9</v>
      </c>
      <c r="AK60">
        <v>8</v>
      </c>
      <c r="AL60" t="s">
        <v>9</v>
      </c>
      <c r="AM60" t="s">
        <v>9</v>
      </c>
      <c r="AN60">
        <v>6</v>
      </c>
      <c r="AO60" t="s">
        <v>91</v>
      </c>
    </row>
    <row r="61" spans="1:41" x14ac:dyDescent="0.25">
      <c r="A61">
        <f>IF(C61&lt;&gt;"", COUNTA($C$2:C61), "")</f>
        <v>60</v>
      </c>
      <c r="B61">
        <v>28</v>
      </c>
      <c r="C61" t="s">
        <v>144</v>
      </c>
      <c r="D61" t="s">
        <v>53</v>
      </c>
      <c r="E61" t="s">
        <v>6</v>
      </c>
      <c r="F61" t="s">
        <v>82</v>
      </c>
      <c r="G61">
        <f t="shared" si="1"/>
        <v>37</v>
      </c>
      <c r="H61" t="s">
        <v>0</v>
      </c>
      <c r="I61" t="s">
        <v>0</v>
      </c>
      <c r="J61" t="s">
        <v>0</v>
      </c>
      <c r="K61" t="s">
        <v>1</v>
      </c>
      <c r="L61" t="s">
        <v>2</v>
      </c>
      <c r="M61" t="s">
        <v>0</v>
      </c>
      <c r="N61" t="s">
        <v>1</v>
      </c>
      <c r="O61" t="s">
        <v>0</v>
      </c>
      <c r="P61" t="s">
        <v>0</v>
      </c>
      <c r="Q61" t="s">
        <v>1</v>
      </c>
      <c r="R61" t="s">
        <v>1</v>
      </c>
      <c r="S61" t="s">
        <v>0</v>
      </c>
      <c r="T61" t="s">
        <v>2</v>
      </c>
      <c r="U61" t="s">
        <v>0</v>
      </c>
      <c r="V61" t="s">
        <v>0</v>
      </c>
      <c r="W61" t="s">
        <v>0</v>
      </c>
      <c r="X61" t="s">
        <v>2</v>
      </c>
      <c r="Y61" t="s">
        <v>0</v>
      </c>
      <c r="Z61" t="s">
        <v>2</v>
      </c>
      <c r="AA61" t="s">
        <v>0</v>
      </c>
      <c r="AB61" t="s">
        <v>0</v>
      </c>
      <c r="AC61" t="s">
        <v>0</v>
      </c>
      <c r="AD61" t="s">
        <v>2</v>
      </c>
      <c r="AE61" t="s">
        <v>0</v>
      </c>
      <c r="AF61">
        <v>4.4000000000000004</v>
      </c>
      <c r="AG61">
        <v>8</v>
      </c>
      <c r="AH61" t="s">
        <v>9</v>
      </c>
      <c r="AI61">
        <v>5</v>
      </c>
      <c r="AJ61" t="s">
        <v>10</v>
      </c>
      <c r="AK61">
        <v>8</v>
      </c>
      <c r="AL61" t="s">
        <v>9</v>
      </c>
      <c r="AM61" t="s">
        <v>9</v>
      </c>
      <c r="AN61">
        <v>19</v>
      </c>
      <c r="AO61" t="s">
        <v>91</v>
      </c>
    </row>
    <row r="62" spans="1:41" x14ac:dyDescent="0.25">
      <c r="A62">
        <f>IF(C62&lt;&gt;"", COUNTA($C$2:C62), "")</f>
        <v>61</v>
      </c>
      <c r="B62">
        <v>29</v>
      </c>
      <c r="C62" t="s">
        <v>145</v>
      </c>
      <c r="D62" t="s">
        <v>125</v>
      </c>
      <c r="E62" t="s">
        <v>6</v>
      </c>
      <c r="F62" t="s">
        <v>7</v>
      </c>
      <c r="G62">
        <f t="shared" si="1"/>
        <v>36</v>
      </c>
      <c r="H62" t="s">
        <v>0</v>
      </c>
      <c r="I62" t="s">
        <v>0</v>
      </c>
      <c r="J62" t="s">
        <v>0</v>
      </c>
      <c r="K62" t="s">
        <v>1</v>
      </c>
      <c r="L62" t="s">
        <v>2</v>
      </c>
      <c r="M62" t="s">
        <v>0</v>
      </c>
      <c r="N62" t="s">
        <v>1</v>
      </c>
      <c r="O62" t="s">
        <v>0</v>
      </c>
      <c r="P62" t="s">
        <v>0</v>
      </c>
      <c r="Q62" t="s">
        <v>2</v>
      </c>
      <c r="R62" t="s">
        <v>1</v>
      </c>
      <c r="S62" t="s">
        <v>2</v>
      </c>
      <c r="T62" t="s">
        <v>2</v>
      </c>
      <c r="U62" t="s">
        <v>2</v>
      </c>
      <c r="V62" t="s">
        <v>0</v>
      </c>
      <c r="W62" t="s">
        <v>0</v>
      </c>
      <c r="X62" t="s">
        <v>2</v>
      </c>
      <c r="Y62" t="s">
        <v>0</v>
      </c>
      <c r="Z62" t="s">
        <v>2</v>
      </c>
      <c r="AA62" t="s">
        <v>0</v>
      </c>
      <c r="AB62" t="s">
        <v>2</v>
      </c>
      <c r="AC62" t="s">
        <v>0</v>
      </c>
      <c r="AD62" t="s">
        <v>2</v>
      </c>
      <c r="AE62" t="s">
        <v>0</v>
      </c>
      <c r="AF62">
        <v>4.8</v>
      </c>
      <c r="AG62">
        <v>8</v>
      </c>
      <c r="AH62" t="s">
        <v>9</v>
      </c>
      <c r="AI62">
        <v>8</v>
      </c>
      <c r="AJ62" t="s">
        <v>9</v>
      </c>
      <c r="AK62">
        <v>7</v>
      </c>
      <c r="AL62" t="s">
        <v>9</v>
      </c>
      <c r="AM62" t="s">
        <v>9</v>
      </c>
      <c r="AN62">
        <v>6</v>
      </c>
      <c r="AO62" t="s">
        <v>91</v>
      </c>
    </row>
    <row r="63" spans="1:41" x14ac:dyDescent="0.25">
      <c r="A63">
        <f>IF(C63&lt;&gt;"", COUNTA($C$2:C63), "")</f>
        <v>62</v>
      </c>
      <c r="B63">
        <v>30</v>
      </c>
      <c r="C63" t="s">
        <v>146</v>
      </c>
      <c r="D63" t="s">
        <v>147</v>
      </c>
      <c r="E63" t="s">
        <v>6</v>
      </c>
      <c r="F63" t="s">
        <v>148</v>
      </c>
      <c r="G63">
        <f t="shared" si="1"/>
        <v>30</v>
      </c>
      <c r="H63" t="s">
        <v>0</v>
      </c>
      <c r="I63" t="s">
        <v>0</v>
      </c>
      <c r="J63" t="s">
        <v>0</v>
      </c>
      <c r="K63" t="s">
        <v>1</v>
      </c>
      <c r="L63" t="s">
        <v>1</v>
      </c>
      <c r="M63" t="s">
        <v>0</v>
      </c>
      <c r="N63" t="s">
        <v>2</v>
      </c>
      <c r="O63" t="s">
        <v>1</v>
      </c>
      <c r="P63" t="s">
        <v>0</v>
      </c>
      <c r="Q63" t="s">
        <v>0</v>
      </c>
      <c r="R63" t="s">
        <v>1</v>
      </c>
      <c r="S63" t="s">
        <v>0</v>
      </c>
      <c r="T63" t="s">
        <v>0</v>
      </c>
      <c r="U63" t="s">
        <v>8</v>
      </c>
      <c r="V63" t="s">
        <v>0</v>
      </c>
      <c r="W63" t="s">
        <v>1</v>
      </c>
      <c r="X63" t="s">
        <v>0</v>
      </c>
      <c r="Y63" t="s">
        <v>2</v>
      </c>
      <c r="Z63" t="s">
        <v>0</v>
      </c>
      <c r="AA63" t="s">
        <v>1</v>
      </c>
      <c r="AB63" t="s">
        <v>1</v>
      </c>
      <c r="AC63" t="s">
        <v>0</v>
      </c>
      <c r="AD63" t="s">
        <v>2</v>
      </c>
      <c r="AE63" t="s">
        <v>8</v>
      </c>
      <c r="AF63">
        <v>2.1</v>
      </c>
      <c r="AG63">
        <v>5</v>
      </c>
      <c r="AH63" t="s">
        <v>10</v>
      </c>
      <c r="AI63">
        <v>3</v>
      </c>
      <c r="AJ63" t="s">
        <v>28</v>
      </c>
      <c r="AK63">
        <v>2</v>
      </c>
      <c r="AL63" t="s">
        <v>18</v>
      </c>
      <c r="AM63" t="s">
        <v>18</v>
      </c>
      <c r="AN63">
        <v>30</v>
      </c>
      <c r="AO63" t="s">
        <v>91</v>
      </c>
    </row>
    <row r="64" spans="1:41" x14ac:dyDescent="0.25">
      <c r="A64">
        <f>IF(C64&lt;&gt;"", COUNTA($C$2:C64), "")</f>
        <v>63</v>
      </c>
      <c r="B64">
        <v>31</v>
      </c>
      <c r="C64" t="s">
        <v>149</v>
      </c>
      <c r="D64" t="s">
        <v>150</v>
      </c>
      <c r="E64" t="s">
        <v>6</v>
      </c>
      <c r="F64" t="s">
        <v>67</v>
      </c>
      <c r="G64">
        <f t="shared" si="1"/>
        <v>43</v>
      </c>
      <c r="H64" t="s">
        <v>0</v>
      </c>
      <c r="I64" t="s">
        <v>0</v>
      </c>
      <c r="J64" t="s">
        <v>0</v>
      </c>
      <c r="K64" t="s">
        <v>1</v>
      </c>
      <c r="L64" t="s">
        <v>2</v>
      </c>
      <c r="M64" t="s">
        <v>0</v>
      </c>
      <c r="N64" t="s">
        <v>1</v>
      </c>
      <c r="O64" t="s">
        <v>0</v>
      </c>
      <c r="P64" t="s">
        <v>0</v>
      </c>
      <c r="Q64" t="s">
        <v>2</v>
      </c>
      <c r="R64" t="s">
        <v>1</v>
      </c>
      <c r="S64" t="s">
        <v>2</v>
      </c>
      <c r="T64" t="s">
        <v>2</v>
      </c>
      <c r="U64" t="s">
        <v>2</v>
      </c>
      <c r="V64" t="s">
        <v>0</v>
      </c>
      <c r="W64" t="s">
        <v>0</v>
      </c>
      <c r="X64" t="s">
        <v>2</v>
      </c>
      <c r="Y64" t="s">
        <v>0</v>
      </c>
      <c r="Z64" t="s">
        <v>2</v>
      </c>
      <c r="AA64" t="s">
        <v>0</v>
      </c>
      <c r="AB64" t="s">
        <v>0</v>
      </c>
      <c r="AC64" t="s">
        <v>0</v>
      </c>
      <c r="AD64" t="s">
        <v>2</v>
      </c>
      <c r="AE64" t="s">
        <v>0</v>
      </c>
      <c r="AF64">
        <v>5</v>
      </c>
      <c r="AG64">
        <v>8</v>
      </c>
      <c r="AH64" t="s">
        <v>9</v>
      </c>
      <c r="AI64">
        <v>8</v>
      </c>
      <c r="AJ64" t="s">
        <v>9</v>
      </c>
      <c r="AK64">
        <v>8</v>
      </c>
      <c r="AL64" t="s">
        <v>9</v>
      </c>
      <c r="AM64" t="s">
        <v>9</v>
      </c>
      <c r="AN64">
        <v>1</v>
      </c>
      <c r="AO64" t="s">
        <v>91</v>
      </c>
    </row>
    <row r="65" spans="1:41" x14ac:dyDescent="0.25">
      <c r="A65">
        <f>IF(C65&lt;&gt;"", COUNTA($C$2:C65), "")</f>
        <v>64</v>
      </c>
      <c r="B65">
        <v>1</v>
      </c>
      <c r="C65" t="s">
        <v>151</v>
      </c>
      <c r="D65" t="s">
        <v>152</v>
      </c>
      <c r="E65" t="s">
        <v>6</v>
      </c>
      <c r="F65" t="s">
        <v>54</v>
      </c>
      <c r="G65">
        <f>ROUND(((HOUR(F65)+MINUTE(F65)/60) - (HOUR(E65)+MINUTE(E65)/60)) * 60,1)</f>
        <v>34</v>
      </c>
      <c r="H65" t="s">
        <v>0</v>
      </c>
      <c r="I65" t="s">
        <v>0</v>
      </c>
      <c r="J65" t="s">
        <v>0</v>
      </c>
      <c r="K65" t="s">
        <v>1</v>
      </c>
      <c r="L65" t="s">
        <v>2</v>
      </c>
      <c r="M65" t="s">
        <v>0</v>
      </c>
      <c r="N65" t="s">
        <v>1</v>
      </c>
      <c r="O65" t="s">
        <v>0</v>
      </c>
      <c r="P65" t="s">
        <v>0</v>
      </c>
      <c r="Q65" t="s">
        <v>2</v>
      </c>
      <c r="R65" t="s">
        <v>1</v>
      </c>
      <c r="S65" t="s">
        <v>2</v>
      </c>
      <c r="T65" t="s">
        <v>0</v>
      </c>
      <c r="U65" t="s">
        <v>2</v>
      </c>
      <c r="V65" t="s">
        <v>0</v>
      </c>
      <c r="W65" t="s">
        <v>0</v>
      </c>
      <c r="X65" t="s">
        <v>2</v>
      </c>
      <c r="Y65" t="s">
        <v>0</v>
      </c>
      <c r="Z65" t="s">
        <v>2</v>
      </c>
      <c r="AA65" t="s">
        <v>0</v>
      </c>
      <c r="AB65" t="s">
        <v>0</v>
      </c>
      <c r="AC65" t="s">
        <v>0</v>
      </c>
      <c r="AD65" t="s">
        <v>2</v>
      </c>
      <c r="AE65" t="s">
        <v>0</v>
      </c>
      <c r="AF65">
        <v>4.8</v>
      </c>
      <c r="AG65">
        <v>8</v>
      </c>
      <c r="AH65" t="s">
        <v>9</v>
      </c>
      <c r="AI65">
        <v>7</v>
      </c>
      <c r="AJ65" t="s">
        <v>9</v>
      </c>
      <c r="AK65">
        <v>8</v>
      </c>
      <c r="AL65" t="s">
        <v>9</v>
      </c>
      <c r="AM65" t="s">
        <v>9</v>
      </c>
      <c r="AN65">
        <v>10</v>
      </c>
      <c r="AO65" t="s">
        <v>153</v>
      </c>
    </row>
    <row r="66" spans="1:41" x14ac:dyDescent="0.25">
      <c r="A66">
        <f>IF(C66&lt;&gt;"", COUNTA($C$2:C66), "")</f>
        <v>65</v>
      </c>
      <c r="B66">
        <v>2</v>
      </c>
      <c r="C66" t="s">
        <v>154</v>
      </c>
      <c r="D66" t="s">
        <v>155</v>
      </c>
      <c r="E66" t="s">
        <v>6</v>
      </c>
      <c r="F66" t="s">
        <v>54</v>
      </c>
      <c r="G66">
        <f t="shared" ref="G66:G94" si="2">ROUND(((HOUR(F66)+MINUTE(F66)/60) - (HOUR(E66)+MINUTE(E66)/60)) * 60,1)</f>
        <v>34</v>
      </c>
      <c r="H66" t="s">
        <v>0</v>
      </c>
      <c r="I66" t="s">
        <v>0</v>
      </c>
      <c r="J66" t="s">
        <v>0</v>
      </c>
      <c r="K66" t="s">
        <v>1</v>
      </c>
      <c r="L66" t="s">
        <v>2</v>
      </c>
      <c r="M66" t="s">
        <v>0</v>
      </c>
      <c r="N66" t="s">
        <v>1</v>
      </c>
      <c r="O66" t="s">
        <v>0</v>
      </c>
      <c r="P66" t="s">
        <v>0</v>
      </c>
      <c r="Q66" t="s">
        <v>2</v>
      </c>
      <c r="R66" t="s">
        <v>1</v>
      </c>
      <c r="S66" t="s">
        <v>2</v>
      </c>
      <c r="T66" t="s">
        <v>2</v>
      </c>
      <c r="U66" t="s">
        <v>2</v>
      </c>
      <c r="V66" t="s">
        <v>0</v>
      </c>
      <c r="W66" t="s">
        <v>0</v>
      </c>
      <c r="X66" t="s">
        <v>2</v>
      </c>
      <c r="Y66" t="s">
        <v>0</v>
      </c>
      <c r="Z66" t="s">
        <v>2</v>
      </c>
      <c r="AA66" t="s">
        <v>0</v>
      </c>
      <c r="AB66" t="s">
        <v>0</v>
      </c>
      <c r="AC66" t="s">
        <v>0</v>
      </c>
      <c r="AD66" t="s">
        <v>2</v>
      </c>
      <c r="AE66" t="s">
        <v>0</v>
      </c>
      <c r="AF66">
        <v>5</v>
      </c>
      <c r="AG66">
        <v>8</v>
      </c>
      <c r="AH66" t="s">
        <v>9</v>
      </c>
      <c r="AI66">
        <v>8</v>
      </c>
      <c r="AJ66" t="s">
        <v>9</v>
      </c>
      <c r="AK66">
        <v>8</v>
      </c>
      <c r="AL66" t="s">
        <v>9</v>
      </c>
      <c r="AM66" t="s">
        <v>9</v>
      </c>
      <c r="AN66">
        <v>1</v>
      </c>
      <c r="AO66" t="s">
        <v>153</v>
      </c>
    </row>
    <row r="67" spans="1:41" x14ac:dyDescent="0.25">
      <c r="A67">
        <f>IF(C67&lt;&gt;"", COUNTA($C$2:C67), "")</f>
        <v>66</v>
      </c>
      <c r="B67">
        <v>3</v>
      </c>
      <c r="C67" t="s">
        <v>156</v>
      </c>
      <c r="D67" t="s">
        <v>157</v>
      </c>
      <c r="E67" t="s">
        <v>6</v>
      </c>
      <c r="F67" t="s">
        <v>24</v>
      </c>
      <c r="G67">
        <f t="shared" si="2"/>
        <v>33</v>
      </c>
      <c r="H67" t="s">
        <v>0</v>
      </c>
      <c r="I67" t="s">
        <v>0</v>
      </c>
      <c r="J67" t="s">
        <v>0</v>
      </c>
      <c r="K67" t="s">
        <v>1</v>
      </c>
      <c r="L67" t="s">
        <v>2</v>
      </c>
      <c r="M67" t="s">
        <v>0</v>
      </c>
      <c r="N67" t="s">
        <v>1</v>
      </c>
      <c r="O67" t="s">
        <v>0</v>
      </c>
      <c r="P67" t="s">
        <v>0</v>
      </c>
      <c r="Q67" t="s">
        <v>2</v>
      </c>
      <c r="R67" t="s">
        <v>1</v>
      </c>
      <c r="S67" t="s">
        <v>2</v>
      </c>
      <c r="T67" t="s">
        <v>2</v>
      </c>
      <c r="U67" t="s">
        <v>2</v>
      </c>
      <c r="V67" t="s">
        <v>0</v>
      </c>
      <c r="W67" t="s">
        <v>0</v>
      </c>
      <c r="X67" t="s">
        <v>2</v>
      </c>
      <c r="Y67" t="s">
        <v>0</v>
      </c>
      <c r="Z67" t="s">
        <v>2</v>
      </c>
      <c r="AA67" t="s">
        <v>0</v>
      </c>
      <c r="AB67" t="s">
        <v>0</v>
      </c>
      <c r="AC67" t="s">
        <v>0</v>
      </c>
      <c r="AD67" t="s">
        <v>2</v>
      </c>
      <c r="AE67" t="s">
        <v>8</v>
      </c>
      <c r="AF67">
        <v>4.8</v>
      </c>
      <c r="AG67">
        <v>8</v>
      </c>
      <c r="AH67" t="s">
        <v>9</v>
      </c>
      <c r="AI67">
        <v>8</v>
      </c>
      <c r="AJ67" t="s">
        <v>9</v>
      </c>
      <c r="AK67">
        <v>7</v>
      </c>
      <c r="AL67" t="s">
        <v>9</v>
      </c>
      <c r="AM67" t="s">
        <v>9</v>
      </c>
      <c r="AN67">
        <v>10</v>
      </c>
      <c r="AO67" t="s">
        <v>153</v>
      </c>
    </row>
    <row r="68" spans="1:41" x14ac:dyDescent="0.25">
      <c r="A68">
        <f>IF(C68&lt;&gt;"", COUNTA($C$2:C68), "")</f>
        <v>67</v>
      </c>
      <c r="B68">
        <v>4</v>
      </c>
      <c r="C68" t="s">
        <v>158</v>
      </c>
      <c r="D68" t="s">
        <v>159</v>
      </c>
      <c r="E68" t="s">
        <v>6</v>
      </c>
      <c r="F68" t="s">
        <v>54</v>
      </c>
      <c r="G68">
        <f t="shared" si="2"/>
        <v>34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1</v>
      </c>
      <c r="O68" t="s">
        <v>0</v>
      </c>
      <c r="P68" t="s">
        <v>0</v>
      </c>
      <c r="Q68" t="s">
        <v>2</v>
      </c>
      <c r="R68" t="s">
        <v>1</v>
      </c>
      <c r="S68" t="s">
        <v>2</v>
      </c>
      <c r="T68" t="s">
        <v>2</v>
      </c>
      <c r="U68" t="s">
        <v>2</v>
      </c>
      <c r="V68" t="s">
        <v>0</v>
      </c>
      <c r="W68" t="s">
        <v>0</v>
      </c>
      <c r="X68" t="s">
        <v>2</v>
      </c>
      <c r="Y68" t="s">
        <v>0</v>
      </c>
      <c r="Z68" t="s">
        <v>2</v>
      </c>
      <c r="AA68" t="s">
        <v>0</v>
      </c>
      <c r="AB68" t="s">
        <v>8</v>
      </c>
      <c r="AC68" t="s">
        <v>0</v>
      </c>
      <c r="AD68" t="s">
        <v>2</v>
      </c>
      <c r="AE68" t="s">
        <v>0</v>
      </c>
      <c r="AF68">
        <v>4.4000000000000004</v>
      </c>
      <c r="AG68">
        <v>6</v>
      </c>
      <c r="AH68" t="s">
        <v>10</v>
      </c>
      <c r="AI68">
        <v>8</v>
      </c>
      <c r="AJ68" t="s">
        <v>9</v>
      </c>
      <c r="AK68">
        <v>7</v>
      </c>
      <c r="AL68" t="s">
        <v>9</v>
      </c>
      <c r="AM68" t="s">
        <v>9</v>
      </c>
      <c r="AN68">
        <v>23</v>
      </c>
      <c r="AO68" t="s">
        <v>153</v>
      </c>
    </row>
    <row r="69" spans="1:41" x14ac:dyDescent="0.25">
      <c r="A69">
        <f>IF(C69&lt;&gt;"", COUNTA($C$2:C69), "")</f>
        <v>68</v>
      </c>
      <c r="B69">
        <v>5</v>
      </c>
      <c r="C69" t="s">
        <v>160</v>
      </c>
      <c r="D69" t="s">
        <v>161</v>
      </c>
      <c r="E69" t="s">
        <v>6</v>
      </c>
      <c r="F69" t="s">
        <v>162</v>
      </c>
      <c r="G69">
        <f t="shared" si="2"/>
        <v>25</v>
      </c>
      <c r="H69" t="s">
        <v>0</v>
      </c>
      <c r="I69" t="s">
        <v>0</v>
      </c>
      <c r="J69" t="s">
        <v>0</v>
      </c>
      <c r="K69" t="s">
        <v>1</v>
      </c>
      <c r="L69" t="s">
        <v>2</v>
      </c>
      <c r="M69" t="s">
        <v>0</v>
      </c>
      <c r="N69" t="s">
        <v>1</v>
      </c>
      <c r="O69" t="s">
        <v>0</v>
      </c>
      <c r="P69" t="s">
        <v>0</v>
      </c>
      <c r="Q69" t="s">
        <v>2</v>
      </c>
      <c r="R69" t="s">
        <v>1</v>
      </c>
      <c r="S69" t="s">
        <v>2</v>
      </c>
      <c r="T69" t="s">
        <v>2</v>
      </c>
      <c r="U69" t="s">
        <v>2</v>
      </c>
      <c r="V69" t="s">
        <v>0</v>
      </c>
      <c r="W69" t="s">
        <v>0</v>
      </c>
      <c r="X69" t="s">
        <v>2</v>
      </c>
      <c r="Y69" t="s">
        <v>0</v>
      </c>
      <c r="Z69" t="s">
        <v>2</v>
      </c>
      <c r="AA69" t="s">
        <v>0</v>
      </c>
      <c r="AB69" t="s">
        <v>0</v>
      </c>
      <c r="AC69" t="s">
        <v>0</v>
      </c>
      <c r="AD69" t="s">
        <v>2</v>
      </c>
      <c r="AE69" t="s">
        <v>0</v>
      </c>
      <c r="AF69">
        <v>5</v>
      </c>
      <c r="AG69">
        <v>8</v>
      </c>
      <c r="AH69" t="s">
        <v>9</v>
      </c>
      <c r="AI69">
        <v>8</v>
      </c>
      <c r="AJ69" t="s">
        <v>9</v>
      </c>
      <c r="AK69">
        <v>8</v>
      </c>
      <c r="AL69" t="s">
        <v>9</v>
      </c>
      <c r="AM69" t="s">
        <v>9</v>
      </c>
      <c r="AN69">
        <v>1</v>
      </c>
      <c r="AO69" t="s">
        <v>153</v>
      </c>
    </row>
    <row r="70" spans="1:41" x14ac:dyDescent="0.25">
      <c r="A70">
        <f>IF(C70&lt;&gt;"", COUNTA($C$2:C70), "")</f>
        <v>69</v>
      </c>
      <c r="B70">
        <v>6</v>
      </c>
      <c r="C70" t="s">
        <v>163</v>
      </c>
      <c r="D70" t="s">
        <v>164</v>
      </c>
      <c r="E70" t="s">
        <v>6</v>
      </c>
      <c r="F70" t="s">
        <v>106</v>
      </c>
      <c r="G70">
        <f t="shared" si="2"/>
        <v>32</v>
      </c>
      <c r="H70" t="s">
        <v>0</v>
      </c>
      <c r="I70" t="s">
        <v>0</v>
      </c>
      <c r="J70" t="s">
        <v>0</v>
      </c>
      <c r="K70" t="s">
        <v>1</v>
      </c>
      <c r="L70" t="s">
        <v>1</v>
      </c>
      <c r="M70" t="s">
        <v>0</v>
      </c>
      <c r="N70" t="s">
        <v>1</v>
      </c>
      <c r="O70" t="s">
        <v>0</v>
      </c>
      <c r="P70" t="s">
        <v>0</v>
      </c>
      <c r="Q70" t="s">
        <v>2</v>
      </c>
      <c r="R70" t="s">
        <v>1</v>
      </c>
      <c r="S70" t="s">
        <v>2</v>
      </c>
      <c r="T70" t="s">
        <v>2</v>
      </c>
      <c r="U70" t="s">
        <v>8</v>
      </c>
      <c r="V70" t="s">
        <v>0</v>
      </c>
      <c r="W70" t="s">
        <v>0</v>
      </c>
      <c r="X70" t="s">
        <v>2</v>
      </c>
      <c r="Y70" t="s">
        <v>0</v>
      </c>
      <c r="Z70" t="s">
        <v>2</v>
      </c>
      <c r="AA70" t="s">
        <v>0</v>
      </c>
      <c r="AB70" t="s">
        <v>0</v>
      </c>
      <c r="AC70" t="s">
        <v>0</v>
      </c>
      <c r="AD70" t="s">
        <v>2</v>
      </c>
      <c r="AE70" t="s">
        <v>0</v>
      </c>
      <c r="AF70">
        <v>4.5999999999999996</v>
      </c>
      <c r="AG70">
        <v>7</v>
      </c>
      <c r="AH70" t="s">
        <v>9</v>
      </c>
      <c r="AI70">
        <v>7</v>
      </c>
      <c r="AJ70" t="s">
        <v>9</v>
      </c>
      <c r="AK70">
        <v>8</v>
      </c>
      <c r="AL70" t="s">
        <v>9</v>
      </c>
      <c r="AM70" t="s">
        <v>9</v>
      </c>
      <c r="AN70">
        <v>13</v>
      </c>
      <c r="AO70" t="s">
        <v>153</v>
      </c>
    </row>
    <row r="71" spans="1:41" x14ac:dyDescent="0.25">
      <c r="A71">
        <f>IF(C71&lt;&gt;"", COUNTA($C$2:C71), "")</f>
        <v>70</v>
      </c>
      <c r="B71">
        <v>7</v>
      </c>
      <c r="C71" t="s">
        <v>165</v>
      </c>
      <c r="D71" t="s">
        <v>166</v>
      </c>
      <c r="E71" t="s">
        <v>6</v>
      </c>
      <c r="F71" t="s">
        <v>36</v>
      </c>
      <c r="G71">
        <f t="shared" si="2"/>
        <v>38</v>
      </c>
      <c r="H71" t="s">
        <v>0</v>
      </c>
      <c r="I71" t="s">
        <v>0</v>
      </c>
      <c r="J71" t="s">
        <v>0</v>
      </c>
      <c r="K71" t="s">
        <v>1</v>
      </c>
      <c r="L71" t="s">
        <v>1</v>
      </c>
      <c r="M71" t="s">
        <v>0</v>
      </c>
      <c r="N71" t="s">
        <v>1</v>
      </c>
      <c r="O71" t="s">
        <v>1</v>
      </c>
      <c r="P71" t="s">
        <v>0</v>
      </c>
      <c r="Q71" t="s">
        <v>2</v>
      </c>
      <c r="R71" t="s">
        <v>1</v>
      </c>
      <c r="S71" t="s">
        <v>2</v>
      </c>
      <c r="T71" t="s">
        <v>2</v>
      </c>
      <c r="U71" t="s">
        <v>2</v>
      </c>
      <c r="V71" t="s">
        <v>0</v>
      </c>
      <c r="W71" t="s">
        <v>0</v>
      </c>
      <c r="X71" t="s">
        <v>2</v>
      </c>
      <c r="Y71" t="s">
        <v>0</v>
      </c>
      <c r="Z71" t="s">
        <v>2</v>
      </c>
      <c r="AA71" t="s">
        <v>0</v>
      </c>
      <c r="AB71" t="s">
        <v>0</v>
      </c>
      <c r="AC71" t="s">
        <v>0</v>
      </c>
      <c r="AD71" t="s">
        <v>2</v>
      </c>
      <c r="AE71" t="s">
        <v>0</v>
      </c>
      <c r="AF71">
        <v>4.5999999999999996</v>
      </c>
      <c r="AG71">
        <v>6</v>
      </c>
      <c r="AH71" t="s">
        <v>10</v>
      </c>
      <c r="AI71">
        <v>8</v>
      </c>
      <c r="AJ71" t="s">
        <v>9</v>
      </c>
      <c r="AK71">
        <v>8</v>
      </c>
      <c r="AL71" t="s">
        <v>9</v>
      </c>
      <c r="AM71" t="s">
        <v>9</v>
      </c>
      <c r="AN71">
        <v>13</v>
      </c>
      <c r="AO71" t="s">
        <v>153</v>
      </c>
    </row>
    <row r="72" spans="1:41" x14ac:dyDescent="0.25">
      <c r="A72">
        <f>IF(C72&lt;&gt;"", COUNTA($C$2:C72), "")</f>
        <v>71</v>
      </c>
      <c r="B72">
        <v>8</v>
      </c>
      <c r="C72" t="s">
        <v>167</v>
      </c>
      <c r="D72" t="s">
        <v>168</v>
      </c>
      <c r="E72" t="s">
        <v>6</v>
      </c>
      <c r="F72" t="s">
        <v>148</v>
      </c>
      <c r="G72">
        <f t="shared" si="2"/>
        <v>30</v>
      </c>
      <c r="H72" t="s">
        <v>0</v>
      </c>
      <c r="I72" t="s">
        <v>0</v>
      </c>
      <c r="J72" t="s">
        <v>0</v>
      </c>
      <c r="K72" t="s">
        <v>1</v>
      </c>
      <c r="L72" t="s">
        <v>2</v>
      </c>
      <c r="M72" t="s">
        <v>0</v>
      </c>
      <c r="N72" t="s">
        <v>1</v>
      </c>
      <c r="O72" t="s">
        <v>0</v>
      </c>
      <c r="P72" t="s">
        <v>0</v>
      </c>
      <c r="Q72" t="s">
        <v>2</v>
      </c>
      <c r="R72" t="s">
        <v>1</v>
      </c>
      <c r="S72" t="s">
        <v>2</v>
      </c>
      <c r="T72" t="s">
        <v>2</v>
      </c>
      <c r="U72" t="s">
        <v>2</v>
      </c>
      <c r="V72" t="s">
        <v>0</v>
      </c>
      <c r="W72" t="s">
        <v>0</v>
      </c>
      <c r="X72" t="s">
        <v>2</v>
      </c>
      <c r="Y72" t="s">
        <v>0</v>
      </c>
      <c r="Z72" t="s">
        <v>2</v>
      </c>
      <c r="AA72" t="s">
        <v>0</v>
      </c>
      <c r="AB72" t="s">
        <v>0</v>
      </c>
      <c r="AC72" t="s">
        <v>0</v>
      </c>
      <c r="AD72" t="s">
        <v>2</v>
      </c>
      <c r="AE72" t="s">
        <v>0</v>
      </c>
      <c r="AF72">
        <v>5</v>
      </c>
      <c r="AG72">
        <v>8</v>
      </c>
      <c r="AH72" t="s">
        <v>9</v>
      </c>
      <c r="AI72">
        <v>8</v>
      </c>
      <c r="AJ72" t="s">
        <v>9</v>
      </c>
      <c r="AK72">
        <v>8</v>
      </c>
      <c r="AL72" t="s">
        <v>9</v>
      </c>
      <c r="AM72" t="s">
        <v>9</v>
      </c>
      <c r="AN72">
        <v>1</v>
      </c>
      <c r="AO72" t="s">
        <v>153</v>
      </c>
    </row>
    <row r="73" spans="1:41" x14ac:dyDescent="0.25">
      <c r="A73">
        <f>IF(C73&lt;&gt;"", COUNTA($C$2:C73), "")</f>
        <v>72</v>
      </c>
      <c r="B73">
        <v>9</v>
      </c>
      <c r="C73" t="s">
        <v>169</v>
      </c>
      <c r="D73" t="s">
        <v>170</v>
      </c>
      <c r="E73" t="s">
        <v>6</v>
      </c>
      <c r="F73" t="s">
        <v>27</v>
      </c>
      <c r="G73">
        <f t="shared" si="2"/>
        <v>40</v>
      </c>
      <c r="H73" t="s">
        <v>0</v>
      </c>
      <c r="I73" t="s">
        <v>0</v>
      </c>
      <c r="J73" t="s">
        <v>0</v>
      </c>
      <c r="K73" t="s">
        <v>1</v>
      </c>
      <c r="L73" t="s">
        <v>2</v>
      </c>
      <c r="M73" t="s">
        <v>0</v>
      </c>
      <c r="N73" t="s">
        <v>1</v>
      </c>
      <c r="O73" t="s">
        <v>0</v>
      </c>
      <c r="P73" t="s">
        <v>0</v>
      </c>
      <c r="Q73" t="s">
        <v>2</v>
      </c>
      <c r="R73" t="s">
        <v>1</v>
      </c>
      <c r="S73" t="s">
        <v>2</v>
      </c>
      <c r="T73" t="s">
        <v>2</v>
      </c>
      <c r="U73" t="s">
        <v>2</v>
      </c>
      <c r="V73" t="s">
        <v>0</v>
      </c>
      <c r="W73" t="s">
        <v>0</v>
      </c>
      <c r="X73" t="s">
        <v>2</v>
      </c>
      <c r="Y73" t="s">
        <v>0</v>
      </c>
      <c r="Z73" t="s">
        <v>2</v>
      </c>
      <c r="AA73" t="s">
        <v>0</v>
      </c>
      <c r="AB73" t="s">
        <v>0</v>
      </c>
      <c r="AC73" t="s">
        <v>0</v>
      </c>
      <c r="AD73" t="s">
        <v>2</v>
      </c>
      <c r="AE73" t="s">
        <v>0</v>
      </c>
      <c r="AF73">
        <v>5</v>
      </c>
      <c r="AG73">
        <v>8</v>
      </c>
      <c r="AH73" t="s">
        <v>9</v>
      </c>
      <c r="AI73">
        <v>8</v>
      </c>
      <c r="AJ73" t="s">
        <v>9</v>
      </c>
      <c r="AK73">
        <v>8</v>
      </c>
      <c r="AL73" t="s">
        <v>9</v>
      </c>
      <c r="AM73" t="s">
        <v>9</v>
      </c>
      <c r="AN73">
        <v>1</v>
      </c>
      <c r="AO73" t="s">
        <v>153</v>
      </c>
    </row>
    <row r="74" spans="1:41" x14ac:dyDescent="0.25">
      <c r="A74">
        <f>IF(C74&lt;&gt;"", COUNTA($C$2:C74), "")</f>
        <v>73</v>
      </c>
      <c r="B74">
        <v>10</v>
      </c>
      <c r="C74" t="s">
        <v>171</v>
      </c>
      <c r="D74" t="s">
        <v>172</v>
      </c>
      <c r="E74" t="s">
        <v>6</v>
      </c>
      <c r="F74" t="s">
        <v>21</v>
      </c>
      <c r="G74">
        <f t="shared" si="2"/>
        <v>39</v>
      </c>
      <c r="H74" t="s">
        <v>0</v>
      </c>
      <c r="I74" t="s">
        <v>0</v>
      </c>
      <c r="J74" t="s">
        <v>0</v>
      </c>
      <c r="K74" t="s">
        <v>1</v>
      </c>
      <c r="L74" t="s">
        <v>1</v>
      </c>
      <c r="M74" t="s">
        <v>0</v>
      </c>
      <c r="N74" t="s">
        <v>2</v>
      </c>
      <c r="O74" t="s">
        <v>0</v>
      </c>
      <c r="P74" t="s">
        <v>0</v>
      </c>
      <c r="Q74" t="s">
        <v>2</v>
      </c>
      <c r="R74" t="s">
        <v>1</v>
      </c>
      <c r="S74" t="s">
        <v>2</v>
      </c>
      <c r="T74" t="s">
        <v>2</v>
      </c>
      <c r="U74" t="s">
        <v>2</v>
      </c>
      <c r="V74" t="s">
        <v>0</v>
      </c>
      <c r="W74" t="s">
        <v>0</v>
      </c>
      <c r="X74" t="s">
        <v>2</v>
      </c>
      <c r="Y74" t="s">
        <v>0</v>
      </c>
      <c r="Z74" t="s">
        <v>2</v>
      </c>
      <c r="AA74" t="s">
        <v>0</v>
      </c>
      <c r="AB74" t="s">
        <v>0</v>
      </c>
      <c r="AC74" t="s">
        <v>0</v>
      </c>
      <c r="AD74" t="s">
        <v>2</v>
      </c>
      <c r="AE74" t="s">
        <v>0</v>
      </c>
      <c r="AF74">
        <v>4.5999999999999996</v>
      </c>
      <c r="AG74">
        <v>6</v>
      </c>
      <c r="AH74" t="s">
        <v>10</v>
      </c>
      <c r="AI74">
        <v>8</v>
      </c>
      <c r="AJ74" t="s">
        <v>9</v>
      </c>
      <c r="AK74">
        <v>8</v>
      </c>
      <c r="AL74" t="s">
        <v>9</v>
      </c>
      <c r="AM74" t="s">
        <v>9</v>
      </c>
      <c r="AN74">
        <v>13</v>
      </c>
      <c r="AO74" t="s">
        <v>153</v>
      </c>
    </row>
    <row r="75" spans="1:41" x14ac:dyDescent="0.25">
      <c r="A75">
        <f>IF(C75&lt;&gt;"", COUNTA($C$2:C75), "")</f>
        <v>74</v>
      </c>
      <c r="B75">
        <v>11</v>
      </c>
      <c r="C75" t="s">
        <v>173</v>
      </c>
      <c r="D75" t="s">
        <v>174</v>
      </c>
      <c r="E75" t="s">
        <v>6</v>
      </c>
      <c r="F75" t="s">
        <v>54</v>
      </c>
      <c r="G75">
        <f t="shared" si="2"/>
        <v>34</v>
      </c>
      <c r="H75" t="s">
        <v>0</v>
      </c>
      <c r="I75" t="s">
        <v>2</v>
      </c>
      <c r="J75" t="s">
        <v>0</v>
      </c>
      <c r="K75" t="s">
        <v>1</v>
      </c>
      <c r="L75" t="s">
        <v>1</v>
      </c>
      <c r="M75" t="s">
        <v>0</v>
      </c>
      <c r="N75" t="s">
        <v>2</v>
      </c>
      <c r="O75" t="s">
        <v>1</v>
      </c>
      <c r="P75" t="s">
        <v>2</v>
      </c>
      <c r="Q75" t="s">
        <v>2</v>
      </c>
      <c r="R75" t="s">
        <v>1</v>
      </c>
      <c r="S75" t="s">
        <v>1</v>
      </c>
      <c r="T75" t="s">
        <v>0</v>
      </c>
      <c r="U75" t="s">
        <v>0</v>
      </c>
      <c r="V75" t="s">
        <v>0</v>
      </c>
      <c r="W75" t="s">
        <v>0</v>
      </c>
      <c r="X75" t="s">
        <v>1</v>
      </c>
      <c r="Y75" t="s">
        <v>0</v>
      </c>
      <c r="Z75" t="s">
        <v>2</v>
      </c>
      <c r="AA75" t="s">
        <v>0</v>
      </c>
      <c r="AB75" t="s">
        <v>0</v>
      </c>
      <c r="AC75" t="s">
        <v>0</v>
      </c>
      <c r="AD75" t="s">
        <v>8</v>
      </c>
      <c r="AE75" t="s">
        <v>0</v>
      </c>
      <c r="AF75">
        <v>2.9</v>
      </c>
      <c r="AG75">
        <v>4</v>
      </c>
      <c r="AH75" t="s">
        <v>28</v>
      </c>
      <c r="AI75">
        <v>4</v>
      </c>
      <c r="AJ75" t="s">
        <v>28</v>
      </c>
      <c r="AK75">
        <v>6</v>
      </c>
      <c r="AL75" t="s">
        <v>10</v>
      </c>
      <c r="AM75" t="s">
        <v>28</v>
      </c>
      <c r="AN75">
        <v>30</v>
      </c>
      <c r="AO75" t="s">
        <v>153</v>
      </c>
    </row>
    <row r="76" spans="1:41" x14ac:dyDescent="0.25">
      <c r="A76">
        <f>IF(C76&lt;&gt;"", COUNTA($C$2:C76), "")</f>
        <v>75</v>
      </c>
      <c r="B76">
        <v>12</v>
      </c>
      <c r="C76" t="s">
        <v>175</v>
      </c>
      <c r="D76" t="s">
        <v>147</v>
      </c>
      <c r="E76" t="s">
        <v>6</v>
      </c>
      <c r="F76" t="s">
        <v>14</v>
      </c>
      <c r="G76">
        <f t="shared" si="2"/>
        <v>35</v>
      </c>
      <c r="H76" t="s">
        <v>0</v>
      </c>
      <c r="I76" t="s">
        <v>0</v>
      </c>
      <c r="J76" t="s">
        <v>0</v>
      </c>
      <c r="K76" t="s">
        <v>1</v>
      </c>
      <c r="L76" t="s">
        <v>1</v>
      </c>
      <c r="M76" t="s">
        <v>0</v>
      </c>
      <c r="N76" t="s">
        <v>1</v>
      </c>
      <c r="O76" t="s">
        <v>0</v>
      </c>
      <c r="P76" t="s">
        <v>0</v>
      </c>
      <c r="Q76" t="s">
        <v>2</v>
      </c>
      <c r="R76" t="s">
        <v>1</v>
      </c>
      <c r="S76" t="s">
        <v>2</v>
      </c>
      <c r="T76" t="s">
        <v>2</v>
      </c>
      <c r="U76" t="s">
        <v>2</v>
      </c>
      <c r="V76" t="s">
        <v>0</v>
      </c>
      <c r="W76" t="s">
        <v>0</v>
      </c>
      <c r="X76" t="s">
        <v>2</v>
      </c>
      <c r="Y76" t="s">
        <v>0</v>
      </c>
      <c r="Z76" t="s">
        <v>2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>
        <v>4.5999999999999996</v>
      </c>
      <c r="AG76">
        <v>7</v>
      </c>
      <c r="AH76" t="s">
        <v>9</v>
      </c>
      <c r="AI76">
        <v>8</v>
      </c>
      <c r="AJ76" t="s">
        <v>9</v>
      </c>
      <c r="AK76">
        <v>7</v>
      </c>
      <c r="AL76" t="s">
        <v>9</v>
      </c>
      <c r="AM76" t="s">
        <v>9</v>
      </c>
      <c r="AN76">
        <v>13</v>
      </c>
      <c r="AO76" t="s">
        <v>153</v>
      </c>
    </row>
    <row r="77" spans="1:41" x14ac:dyDescent="0.25">
      <c r="A77">
        <f>IF(C77&lt;&gt;"", COUNTA($C$2:C77), "")</f>
        <v>76</v>
      </c>
      <c r="B77">
        <v>13</v>
      </c>
      <c r="C77" t="s">
        <v>176</v>
      </c>
      <c r="D77" t="s">
        <v>35</v>
      </c>
      <c r="E77" t="s">
        <v>6</v>
      </c>
      <c r="F77" t="s">
        <v>49</v>
      </c>
      <c r="G77">
        <f t="shared" si="2"/>
        <v>45</v>
      </c>
      <c r="H77" t="s">
        <v>0</v>
      </c>
      <c r="I77" t="s">
        <v>0</v>
      </c>
      <c r="J77" t="s">
        <v>0</v>
      </c>
      <c r="K77" t="s">
        <v>1</v>
      </c>
      <c r="L77" t="s">
        <v>2</v>
      </c>
      <c r="M77" t="s">
        <v>0</v>
      </c>
      <c r="N77" t="s">
        <v>1</v>
      </c>
      <c r="O77" t="s">
        <v>0</v>
      </c>
      <c r="P77" t="s">
        <v>0</v>
      </c>
      <c r="Q77" t="s">
        <v>2</v>
      </c>
      <c r="R77" t="s">
        <v>1</v>
      </c>
      <c r="S77" t="s">
        <v>2</v>
      </c>
      <c r="T77" t="s">
        <v>2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2</v>
      </c>
      <c r="AA77" t="s">
        <v>0</v>
      </c>
      <c r="AB77" t="s">
        <v>0</v>
      </c>
      <c r="AC77" t="s">
        <v>0</v>
      </c>
      <c r="AD77" t="s">
        <v>2</v>
      </c>
      <c r="AE77" t="s">
        <v>0</v>
      </c>
      <c r="AF77">
        <v>4.5999999999999996</v>
      </c>
      <c r="AG77">
        <v>8</v>
      </c>
      <c r="AH77" t="s">
        <v>9</v>
      </c>
      <c r="AI77">
        <v>7</v>
      </c>
      <c r="AJ77" t="s">
        <v>9</v>
      </c>
      <c r="AK77">
        <v>7</v>
      </c>
      <c r="AL77" t="s">
        <v>9</v>
      </c>
      <c r="AM77" t="s">
        <v>9</v>
      </c>
      <c r="AN77">
        <v>13</v>
      </c>
      <c r="AO77" t="s">
        <v>153</v>
      </c>
    </row>
    <row r="78" spans="1:41" x14ac:dyDescent="0.25">
      <c r="A78">
        <f>IF(C78&lt;&gt;"", COUNTA($C$2:C78), "")</f>
        <v>77</v>
      </c>
      <c r="B78">
        <v>14</v>
      </c>
      <c r="C78" t="s">
        <v>177</v>
      </c>
      <c r="D78" t="s">
        <v>125</v>
      </c>
      <c r="E78" t="s">
        <v>6</v>
      </c>
      <c r="F78" t="s">
        <v>7</v>
      </c>
      <c r="G78">
        <f t="shared" si="2"/>
        <v>36</v>
      </c>
      <c r="H78" t="s">
        <v>0</v>
      </c>
      <c r="I78" t="s">
        <v>0</v>
      </c>
      <c r="J78" t="s">
        <v>0</v>
      </c>
      <c r="K78" t="s">
        <v>1</v>
      </c>
      <c r="L78" t="s">
        <v>2</v>
      </c>
      <c r="M78" t="s">
        <v>0</v>
      </c>
      <c r="N78" t="s">
        <v>1</v>
      </c>
      <c r="O78" t="s">
        <v>0</v>
      </c>
      <c r="P78" t="s">
        <v>0</v>
      </c>
      <c r="Q78" t="s">
        <v>2</v>
      </c>
      <c r="R78" t="s">
        <v>1</v>
      </c>
      <c r="S78" t="s">
        <v>2</v>
      </c>
      <c r="T78" t="s">
        <v>2</v>
      </c>
      <c r="U78" t="s">
        <v>2</v>
      </c>
      <c r="V78" t="s">
        <v>0</v>
      </c>
      <c r="W78" t="s">
        <v>0</v>
      </c>
      <c r="X78" t="s">
        <v>2</v>
      </c>
      <c r="Y78" t="s">
        <v>0</v>
      </c>
      <c r="Z78" t="s">
        <v>2</v>
      </c>
      <c r="AA78" t="s">
        <v>0</v>
      </c>
      <c r="AB78" t="s">
        <v>0</v>
      </c>
      <c r="AC78" t="s">
        <v>0</v>
      </c>
      <c r="AD78" t="s">
        <v>2</v>
      </c>
      <c r="AE78" t="s">
        <v>0</v>
      </c>
      <c r="AF78">
        <v>5</v>
      </c>
      <c r="AG78">
        <v>8</v>
      </c>
      <c r="AH78" t="s">
        <v>9</v>
      </c>
      <c r="AI78">
        <v>8</v>
      </c>
      <c r="AJ78" t="s">
        <v>9</v>
      </c>
      <c r="AK78">
        <v>8</v>
      </c>
      <c r="AL78" t="s">
        <v>9</v>
      </c>
      <c r="AM78" t="s">
        <v>9</v>
      </c>
      <c r="AN78">
        <v>1</v>
      </c>
      <c r="AO78" t="s">
        <v>153</v>
      </c>
    </row>
    <row r="79" spans="1:41" x14ac:dyDescent="0.25">
      <c r="A79">
        <f>IF(C79&lt;&gt;"", COUNTA($C$2:C79), "")</f>
        <v>78</v>
      </c>
      <c r="B79">
        <v>15</v>
      </c>
      <c r="C79" t="s">
        <v>178</v>
      </c>
      <c r="D79" t="s">
        <v>179</v>
      </c>
      <c r="E79" t="s">
        <v>6</v>
      </c>
      <c r="F79" t="s">
        <v>14</v>
      </c>
      <c r="G79">
        <f t="shared" si="2"/>
        <v>35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1</v>
      </c>
      <c r="O79" t="s">
        <v>0</v>
      </c>
      <c r="P79" t="s">
        <v>0</v>
      </c>
      <c r="Q79" t="s">
        <v>2</v>
      </c>
      <c r="R79" t="s">
        <v>1</v>
      </c>
      <c r="S79" t="s">
        <v>2</v>
      </c>
      <c r="T79" t="s">
        <v>2</v>
      </c>
      <c r="U79" t="s">
        <v>2</v>
      </c>
      <c r="V79" t="s">
        <v>0</v>
      </c>
      <c r="W79" t="s">
        <v>0</v>
      </c>
      <c r="X79" t="s">
        <v>0</v>
      </c>
      <c r="Y79" t="s">
        <v>2</v>
      </c>
      <c r="Z79" t="s">
        <v>0</v>
      </c>
      <c r="AA79" t="s">
        <v>1</v>
      </c>
      <c r="AB79" t="s">
        <v>8</v>
      </c>
      <c r="AC79" t="s">
        <v>0</v>
      </c>
      <c r="AD79" t="s">
        <v>2</v>
      </c>
      <c r="AE79" t="s">
        <v>0</v>
      </c>
      <c r="AF79">
        <v>3.5</v>
      </c>
      <c r="AG79">
        <v>6</v>
      </c>
      <c r="AH79" t="s">
        <v>10</v>
      </c>
      <c r="AI79">
        <v>8</v>
      </c>
      <c r="AJ79" t="s">
        <v>9</v>
      </c>
      <c r="AK79">
        <v>3</v>
      </c>
      <c r="AL79" t="s">
        <v>28</v>
      </c>
      <c r="AM79" t="s">
        <v>28</v>
      </c>
      <c r="AN79">
        <v>27</v>
      </c>
      <c r="AO79" t="s">
        <v>153</v>
      </c>
    </row>
    <row r="80" spans="1:41" x14ac:dyDescent="0.25">
      <c r="A80">
        <f>IF(C80&lt;&gt;"", COUNTA($C$2:C80), "")</f>
        <v>79</v>
      </c>
      <c r="B80">
        <v>16</v>
      </c>
      <c r="C80" t="s">
        <v>180</v>
      </c>
      <c r="D80" t="s">
        <v>181</v>
      </c>
      <c r="E80" t="s">
        <v>6</v>
      </c>
      <c r="F80" t="s">
        <v>27</v>
      </c>
      <c r="G80">
        <f t="shared" si="2"/>
        <v>40</v>
      </c>
      <c r="H80" t="s">
        <v>0</v>
      </c>
      <c r="I80" t="s">
        <v>0</v>
      </c>
      <c r="J80" t="s">
        <v>0</v>
      </c>
      <c r="K80" t="s">
        <v>1</v>
      </c>
      <c r="L80" t="s">
        <v>2</v>
      </c>
      <c r="M80" t="s">
        <v>0</v>
      </c>
      <c r="N80" t="s">
        <v>2</v>
      </c>
      <c r="O80" t="s">
        <v>0</v>
      </c>
      <c r="P80" t="s">
        <v>0</v>
      </c>
      <c r="Q80" t="s">
        <v>2</v>
      </c>
      <c r="R80" t="s">
        <v>1</v>
      </c>
      <c r="S80" t="s">
        <v>2</v>
      </c>
      <c r="T80" t="s">
        <v>2</v>
      </c>
      <c r="U80" t="s">
        <v>2</v>
      </c>
      <c r="V80" t="s">
        <v>0</v>
      </c>
      <c r="W80" t="s">
        <v>0</v>
      </c>
      <c r="X80" t="s">
        <v>2</v>
      </c>
      <c r="Y80" t="s">
        <v>0</v>
      </c>
      <c r="Z80" t="s">
        <v>2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>
        <v>4.5999999999999996</v>
      </c>
      <c r="AG80">
        <v>7</v>
      </c>
      <c r="AH80" t="s">
        <v>9</v>
      </c>
      <c r="AI80">
        <v>8</v>
      </c>
      <c r="AJ80" t="s">
        <v>9</v>
      </c>
      <c r="AK80">
        <v>7</v>
      </c>
      <c r="AL80" t="s">
        <v>9</v>
      </c>
      <c r="AM80" t="s">
        <v>9</v>
      </c>
      <c r="AN80">
        <v>13</v>
      </c>
      <c r="AO80" t="s">
        <v>153</v>
      </c>
    </row>
    <row r="81" spans="1:41" x14ac:dyDescent="0.25">
      <c r="A81">
        <f>IF(C81&lt;&gt;"", COUNTA($C$2:C81), "")</f>
        <v>80</v>
      </c>
      <c r="B81">
        <v>17</v>
      </c>
      <c r="C81" t="s">
        <v>182</v>
      </c>
      <c r="D81" t="s">
        <v>84</v>
      </c>
      <c r="E81" t="s">
        <v>6</v>
      </c>
      <c r="F81" t="s">
        <v>21</v>
      </c>
      <c r="G81">
        <f t="shared" si="2"/>
        <v>39</v>
      </c>
      <c r="H81" t="s">
        <v>0</v>
      </c>
      <c r="I81" t="s">
        <v>0</v>
      </c>
      <c r="J81" t="s">
        <v>0</v>
      </c>
      <c r="K81" t="s">
        <v>1</v>
      </c>
      <c r="L81" t="s">
        <v>2</v>
      </c>
      <c r="M81" t="s">
        <v>0</v>
      </c>
      <c r="N81" t="s">
        <v>1</v>
      </c>
      <c r="O81" t="s">
        <v>0</v>
      </c>
      <c r="P81" t="s">
        <v>1</v>
      </c>
      <c r="Q81" t="s">
        <v>2</v>
      </c>
      <c r="R81" t="s">
        <v>1</v>
      </c>
      <c r="S81" t="s">
        <v>2</v>
      </c>
      <c r="T81" t="s">
        <v>2</v>
      </c>
      <c r="U81" t="s">
        <v>2</v>
      </c>
      <c r="V81" t="s">
        <v>0</v>
      </c>
      <c r="W81" t="s">
        <v>0</v>
      </c>
      <c r="X81" t="s">
        <v>2</v>
      </c>
      <c r="Y81" t="s">
        <v>0</v>
      </c>
      <c r="Z81" t="s">
        <v>2</v>
      </c>
      <c r="AA81" t="s">
        <v>0</v>
      </c>
      <c r="AB81" t="s">
        <v>0</v>
      </c>
      <c r="AC81" t="s">
        <v>0</v>
      </c>
      <c r="AD81" t="s">
        <v>2</v>
      </c>
      <c r="AE81" t="s">
        <v>0</v>
      </c>
      <c r="AF81">
        <v>4.8</v>
      </c>
      <c r="AG81">
        <v>8</v>
      </c>
      <c r="AH81" t="s">
        <v>9</v>
      </c>
      <c r="AI81">
        <v>7</v>
      </c>
      <c r="AJ81" t="s">
        <v>9</v>
      </c>
      <c r="AK81">
        <v>8</v>
      </c>
      <c r="AL81" t="s">
        <v>9</v>
      </c>
      <c r="AM81" t="s">
        <v>9</v>
      </c>
      <c r="AN81">
        <v>10</v>
      </c>
      <c r="AO81" t="s">
        <v>153</v>
      </c>
    </row>
    <row r="82" spans="1:41" x14ac:dyDescent="0.25">
      <c r="A82">
        <f>IF(C82&lt;&gt;"", COUNTA($C$2:C82), "")</f>
        <v>81</v>
      </c>
      <c r="B82">
        <v>18</v>
      </c>
      <c r="C82" t="s">
        <v>183</v>
      </c>
      <c r="D82" t="s">
        <v>184</v>
      </c>
      <c r="E82" t="s">
        <v>6</v>
      </c>
      <c r="F82" t="s">
        <v>7</v>
      </c>
      <c r="G82">
        <f t="shared" si="2"/>
        <v>36</v>
      </c>
      <c r="H82" t="s">
        <v>0</v>
      </c>
      <c r="I82" t="s">
        <v>1</v>
      </c>
      <c r="J82" t="s">
        <v>0</v>
      </c>
      <c r="K82" t="s">
        <v>1</v>
      </c>
      <c r="L82" t="s">
        <v>2</v>
      </c>
      <c r="M82" t="s">
        <v>0</v>
      </c>
      <c r="N82" t="s">
        <v>2</v>
      </c>
      <c r="O82" t="s">
        <v>1</v>
      </c>
      <c r="P82" t="s">
        <v>0</v>
      </c>
      <c r="Q82" t="s">
        <v>2</v>
      </c>
      <c r="R82" t="s">
        <v>1</v>
      </c>
      <c r="S82" t="s">
        <v>2</v>
      </c>
      <c r="T82" t="s">
        <v>2</v>
      </c>
      <c r="U82" t="s">
        <v>2</v>
      </c>
      <c r="V82" t="s">
        <v>0</v>
      </c>
      <c r="W82" t="s">
        <v>0</v>
      </c>
      <c r="X82" t="s">
        <v>2</v>
      </c>
      <c r="Y82" t="s">
        <v>0</v>
      </c>
      <c r="Z82" t="s">
        <v>2</v>
      </c>
      <c r="AA82" t="s">
        <v>0</v>
      </c>
      <c r="AB82" t="s">
        <v>0</v>
      </c>
      <c r="AC82" t="s">
        <v>0</v>
      </c>
      <c r="AD82" t="s">
        <v>2</v>
      </c>
      <c r="AE82" t="s">
        <v>0</v>
      </c>
      <c r="AF82">
        <v>4.4000000000000004</v>
      </c>
      <c r="AG82">
        <v>5</v>
      </c>
      <c r="AH82" t="s">
        <v>10</v>
      </c>
      <c r="AI82">
        <v>8</v>
      </c>
      <c r="AJ82" t="s">
        <v>9</v>
      </c>
      <c r="AK82">
        <v>8</v>
      </c>
      <c r="AL82" t="s">
        <v>9</v>
      </c>
      <c r="AM82" t="s">
        <v>9</v>
      </c>
      <c r="AN82">
        <v>23</v>
      </c>
      <c r="AO82" t="s">
        <v>153</v>
      </c>
    </row>
    <row r="83" spans="1:41" x14ac:dyDescent="0.25">
      <c r="A83">
        <f>IF(C83&lt;&gt;"", COUNTA($C$2:C83), "")</f>
        <v>82</v>
      </c>
      <c r="B83">
        <v>19</v>
      </c>
      <c r="C83" t="s">
        <v>185</v>
      </c>
      <c r="D83" t="s">
        <v>186</v>
      </c>
      <c r="E83" t="s">
        <v>6</v>
      </c>
      <c r="F83" t="s">
        <v>148</v>
      </c>
      <c r="G83">
        <f t="shared" si="2"/>
        <v>30</v>
      </c>
      <c r="H83" t="s">
        <v>0</v>
      </c>
      <c r="I83" t="s">
        <v>0</v>
      </c>
      <c r="J83" t="s">
        <v>0</v>
      </c>
      <c r="K83" t="s">
        <v>1</v>
      </c>
      <c r="L83" t="s">
        <v>2</v>
      </c>
      <c r="M83" t="s">
        <v>0</v>
      </c>
      <c r="N83" t="s">
        <v>1</v>
      </c>
      <c r="O83" t="s">
        <v>0</v>
      </c>
      <c r="P83" t="s">
        <v>0</v>
      </c>
      <c r="Q83" t="s">
        <v>2</v>
      </c>
      <c r="R83" t="s">
        <v>1</v>
      </c>
      <c r="S83" t="s">
        <v>2</v>
      </c>
      <c r="T83" t="s">
        <v>2</v>
      </c>
      <c r="U83" t="s">
        <v>2</v>
      </c>
      <c r="V83" t="s">
        <v>0</v>
      </c>
      <c r="W83" t="s">
        <v>0</v>
      </c>
      <c r="X83" t="s">
        <v>2</v>
      </c>
      <c r="Y83" t="s">
        <v>0</v>
      </c>
      <c r="Z83" t="s">
        <v>2</v>
      </c>
      <c r="AA83" t="s">
        <v>0</v>
      </c>
      <c r="AB83" t="s">
        <v>0</v>
      </c>
      <c r="AC83" t="s">
        <v>0</v>
      </c>
      <c r="AD83" t="s">
        <v>2</v>
      </c>
      <c r="AE83" t="s">
        <v>0</v>
      </c>
      <c r="AF83">
        <v>5</v>
      </c>
      <c r="AG83">
        <v>8</v>
      </c>
      <c r="AH83" t="s">
        <v>9</v>
      </c>
      <c r="AI83">
        <v>8</v>
      </c>
      <c r="AJ83" t="s">
        <v>9</v>
      </c>
      <c r="AK83">
        <v>8</v>
      </c>
      <c r="AL83" t="s">
        <v>9</v>
      </c>
      <c r="AM83" t="s">
        <v>9</v>
      </c>
      <c r="AN83">
        <v>1</v>
      </c>
      <c r="AO83" t="s">
        <v>153</v>
      </c>
    </row>
    <row r="84" spans="1:41" x14ac:dyDescent="0.25">
      <c r="A84">
        <f>IF(C84&lt;&gt;"", COUNTA($C$2:C84), "")</f>
        <v>83</v>
      </c>
      <c r="B84">
        <v>20</v>
      </c>
      <c r="C84" t="s">
        <v>187</v>
      </c>
      <c r="D84" t="s">
        <v>188</v>
      </c>
      <c r="E84" t="s">
        <v>6</v>
      </c>
      <c r="F84" t="s">
        <v>21</v>
      </c>
      <c r="G84">
        <f t="shared" si="2"/>
        <v>39</v>
      </c>
      <c r="H84" t="s">
        <v>0</v>
      </c>
      <c r="I84" t="s">
        <v>0</v>
      </c>
      <c r="J84" t="s">
        <v>0</v>
      </c>
      <c r="K84" t="s">
        <v>1</v>
      </c>
      <c r="L84" t="s">
        <v>2</v>
      </c>
      <c r="M84" t="s">
        <v>0</v>
      </c>
      <c r="N84" t="s">
        <v>1</v>
      </c>
      <c r="O84" t="s">
        <v>0</v>
      </c>
      <c r="P84" t="s">
        <v>0</v>
      </c>
      <c r="Q84" t="s">
        <v>2</v>
      </c>
      <c r="R84" t="s">
        <v>1</v>
      </c>
      <c r="S84" t="s">
        <v>2</v>
      </c>
      <c r="T84" t="s">
        <v>2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2</v>
      </c>
      <c r="AA84" t="s">
        <v>2</v>
      </c>
      <c r="AB84" t="s">
        <v>2</v>
      </c>
      <c r="AC84" t="s">
        <v>2</v>
      </c>
      <c r="AD84" t="s">
        <v>1</v>
      </c>
      <c r="AE84" t="s">
        <v>2</v>
      </c>
      <c r="AF84">
        <v>3.5</v>
      </c>
      <c r="AG84">
        <v>8</v>
      </c>
      <c r="AH84" t="s">
        <v>9</v>
      </c>
      <c r="AI84">
        <v>7</v>
      </c>
      <c r="AJ84" t="s">
        <v>9</v>
      </c>
      <c r="AK84">
        <v>2</v>
      </c>
      <c r="AL84" t="s">
        <v>18</v>
      </c>
      <c r="AM84" t="s">
        <v>28</v>
      </c>
      <c r="AN84">
        <v>27</v>
      </c>
      <c r="AO84" t="s">
        <v>153</v>
      </c>
    </row>
    <row r="85" spans="1:41" x14ac:dyDescent="0.25">
      <c r="A85">
        <f>IF(C85&lt;&gt;"", COUNTA($C$2:C85), "")</f>
        <v>84</v>
      </c>
      <c r="B85">
        <v>21</v>
      </c>
      <c r="C85" t="s">
        <v>189</v>
      </c>
      <c r="D85" t="s">
        <v>190</v>
      </c>
      <c r="E85" t="s">
        <v>6</v>
      </c>
      <c r="F85" t="s">
        <v>14</v>
      </c>
      <c r="G85">
        <f t="shared" si="2"/>
        <v>35</v>
      </c>
      <c r="H85" t="s">
        <v>0</v>
      </c>
      <c r="I85" t="s">
        <v>1</v>
      </c>
      <c r="J85" t="s">
        <v>0</v>
      </c>
      <c r="K85" t="s">
        <v>1</v>
      </c>
      <c r="L85" t="s">
        <v>2</v>
      </c>
      <c r="M85" t="s">
        <v>0</v>
      </c>
      <c r="N85" t="s">
        <v>1</v>
      </c>
      <c r="O85" t="s">
        <v>0</v>
      </c>
      <c r="P85" t="s">
        <v>0</v>
      </c>
      <c r="Q85" t="s">
        <v>2</v>
      </c>
      <c r="R85" t="s">
        <v>0</v>
      </c>
      <c r="S85" t="s">
        <v>2</v>
      </c>
      <c r="T85" t="s">
        <v>2</v>
      </c>
      <c r="U85" t="s">
        <v>2</v>
      </c>
      <c r="V85" t="s">
        <v>0</v>
      </c>
      <c r="W85" t="s">
        <v>0</v>
      </c>
      <c r="X85" t="s">
        <v>2</v>
      </c>
      <c r="Y85" t="s">
        <v>0</v>
      </c>
      <c r="Z85" t="s">
        <v>2</v>
      </c>
      <c r="AA85" t="s">
        <v>0</v>
      </c>
      <c r="AB85" t="s">
        <v>0</v>
      </c>
      <c r="AC85" t="s">
        <v>0</v>
      </c>
      <c r="AD85" t="s">
        <v>2</v>
      </c>
      <c r="AE85" t="s">
        <v>0</v>
      </c>
      <c r="AF85">
        <v>4.5999999999999996</v>
      </c>
      <c r="AG85">
        <v>7</v>
      </c>
      <c r="AH85" t="s">
        <v>9</v>
      </c>
      <c r="AI85">
        <v>7</v>
      </c>
      <c r="AJ85" t="s">
        <v>9</v>
      </c>
      <c r="AK85">
        <v>8</v>
      </c>
      <c r="AL85" t="s">
        <v>9</v>
      </c>
      <c r="AM85" t="s">
        <v>9</v>
      </c>
      <c r="AN85">
        <v>13</v>
      </c>
      <c r="AO85" t="s">
        <v>153</v>
      </c>
    </row>
    <row r="86" spans="1:41" x14ac:dyDescent="0.25">
      <c r="A86">
        <f>IF(C86&lt;&gt;"", COUNTA($C$2:C86), "")</f>
        <v>85</v>
      </c>
      <c r="B86">
        <v>22</v>
      </c>
      <c r="C86" t="s">
        <v>191</v>
      </c>
      <c r="D86" t="s">
        <v>192</v>
      </c>
      <c r="E86" t="s">
        <v>6</v>
      </c>
      <c r="F86" t="s">
        <v>14</v>
      </c>
      <c r="G86">
        <f t="shared" si="2"/>
        <v>35</v>
      </c>
      <c r="H86" t="s">
        <v>0</v>
      </c>
      <c r="I86" t="s">
        <v>0</v>
      </c>
      <c r="J86" t="s">
        <v>0</v>
      </c>
      <c r="K86" t="s">
        <v>1</v>
      </c>
      <c r="L86" t="s">
        <v>2</v>
      </c>
      <c r="M86" t="s">
        <v>0</v>
      </c>
      <c r="N86" t="s">
        <v>1</v>
      </c>
      <c r="O86" t="s">
        <v>0</v>
      </c>
      <c r="P86" t="s">
        <v>0</v>
      </c>
      <c r="Q86" t="s">
        <v>2</v>
      </c>
      <c r="R86" t="s">
        <v>1</v>
      </c>
      <c r="S86" t="s">
        <v>2</v>
      </c>
      <c r="T86" t="s">
        <v>2</v>
      </c>
      <c r="U86" t="s">
        <v>2</v>
      </c>
      <c r="V86" t="s">
        <v>0</v>
      </c>
      <c r="W86" t="s">
        <v>0</v>
      </c>
      <c r="X86" t="s">
        <v>2</v>
      </c>
      <c r="Y86" t="s">
        <v>0</v>
      </c>
      <c r="Z86" t="s">
        <v>2</v>
      </c>
      <c r="AA86" t="s">
        <v>0</v>
      </c>
      <c r="AB86" t="s">
        <v>0</v>
      </c>
      <c r="AC86" t="s">
        <v>0</v>
      </c>
      <c r="AD86" t="s">
        <v>2</v>
      </c>
      <c r="AE86" t="s">
        <v>0</v>
      </c>
      <c r="AF86">
        <v>5</v>
      </c>
      <c r="AG86">
        <v>8</v>
      </c>
      <c r="AH86" t="s">
        <v>9</v>
      </c>
      <c r="AI86">
        <v>8</v>
      </c>
      <c r="AJ86" t="s">
        <v>9</v>
      </c>
      <c r="AK86">
        <v>8</v>
      </c>
      <c r="AL86" t="s">
        <v>9</v>
      </c>
      <c r="AM86" t="s">
        <v>9</v>
      </c>
      <c r="AN86">
        <v>1</v>
      </c>
      <c r="AO86" t="s">
        <v>153</v>
      </c>
    </row>
    <row r="87" spans="1:41" x14ac:dyDescent="0.25">
      <c r="A87">
        <f>IF(C87&lt;&gt;"", COUNTA($C$2:C87), "")</f>
        <v>86</v>
      </c>
      <c r="B87">
        <v>23</v>
      </c>
      <c r="C87" t="s">
        <v>193</v>
      </c>
      <c r="D87" t="s">
        <v>194</v>
      </c>
      <c r="E87" t="s">
        <v>6</v>
      </c>
      <c r="F87" t="s">
        <v>27</v>
      </c>
      <c r="G87">
        <f t="shared" si="2"/>
        <v>40</v>
      </c>
      <c r="H87" t="s">
        <v>0</v>
      </c>
      <c r="I87" t="s">
        <v>0</v>
      </c>
      <c r="J87" t="s">
        <v>1</v>
      </c>
      <c r="K87" t="s">
        <v>1</v>
      </c>
      <c r="L87" t="s">
        <v>8</v>
      </c>
      <c r="M87" t="s">
        <v>0</v>
      </c>
      <c r="N87" t="s">
        <v>2</v>
      </c>
      <c r="O87" t="s">
        <v>0</v>
      </c>
      <c r="P87" t="s">
        <v>0</v>
      </c>
      <c r="Q87" t="s">
        <v>2</v>
      </c>
      <c r="R87" t="s">
        <v>1</v>
      </c>
      <c r="S87" t="s">
        <v>2</v>
      </c>
      <c r="T87" t="s">
        <v>8</v>
      </c>
      <c r="U87" t="s">
        <v>8</v>
      </c>
      <c r="V87" t="s">
        <v>0</v>
      </c>
      <c r="W87" t="s">
        <v>0</v>
      </c>
      <c r="X87" t="s">
        <v>2</v>
      </c>
      <c r="Y87" t="s">
        <v>0</v>
      </c>
      <c r="Z87" t="s">
        <v>2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>
        <v>3.8</v>
      </c>
      <c r="AG87">
        <v>5</v>
      </c>
      <c r="AH87" t="s">
        <v>10</v>
      </c>
      <c r="AI87">
        <v>6</v>
      </c>
      <c r="AJ87" t="s">
        <v>10</v>
      </c>
      <c r="AK87">
        <v>7</v>
      </c>
      <c r="AL87" t="s">
        <v>9</v>
      </c>
      <c r="AM87" t="s">
        <v>10</v>
      </c>
      <c r="AN87">
        <v>26</v>
      </c>
      <c r="AO87" t="s">
        <v>153</v>
      </c>
    </row>
    <row r="88" spans="1:41" x14ac:dyDescent="0.25">
      <c r="A88">
        <f>IF(C88&lt;&gt;"", COUNTA($C$2:C88), "")</f>
        <v>87</v>
      </c>
      <c r="B88">
        <v>24</v>
      </c>
      <c r="C88" t="s">
        <v>195</v>
      </c>
      <c r="D88" t="s">
        <v>196</v>
      </c>
      <c r="E88" t="s">
        <v>6</v>
      </c>
      <c r="F88" t="s">
        <v>24</v>
      </c>
      <c r="G88">
        <f t="shared" si="2"/>
        <v>33</v>
      </c>
      <c r="H88" t="s">
        <v>0</v>
      </c>
      <c r="I88" t="s">
        <v>0</v>
      </c>
      <c r="J88" t="s">
        <v>0</v>
      </c>
      <c r="K88" t="s">
        <v>1</v>
      </c>
      <c r="L88" t="s">
        <v>1</v>
      </c>
      <c r="M88" t="s">
        <v>0</v>
      </c>
      <c r="N88" t="s">
        <v>2</v>
      </c>
      <c r="O88" t="s">
        <v>0</v>
      </c>
      <c r="P88" t="s">
        <v>0</v>
      </c>
      <c r="Q88" t="s">
        <v>2</v>
      </c>
      <c r="R88" t="s">
        <v>1</v>
      </c>
      <c r="S88" t="s">
        <v>2</v>
      </c>
      <c r="T88" t="s">
        <v>2</v>
      </c>
      <c r="U88" t="s">
        <v>2</v>
      </c>
      <c r="V88" t="s">
        <v>0</v>
      </c>
      <c r="W88" t="s">
        <v>0</v>
      </c>
      <c r="X88" t="s">
        <v>2</v>
      </c>
      <c r="Y88" t="s">
        <v>0</v>
      </c>
      <c r="Z88" t="s">
        <v>2</v>
      </c>
      <c r="AA88" t="s">
        <v>0</v>
      </c>
      <c r="AB88" t="s">
        <v>0</v>
      </c>
      <c r="AC88" t="s">
        <v>0</v>
      </c>
      <c r="AD88" t="s">
        <v>2</v>
      </c>
      <c r="AE88" t="s">
        <v>0</v>
      </c>
      <c r="AF88">
        <v>4.5999999999999996</v>
      </c>
      <c r="AG88">
        <v>6</v>
      </c>
      <c r="AH88" t="s">
        <v>10</v>
      </c>
      <c r="AI88">
        <v>8</v>
      </c>
      <c r="AJ88" t="s">
        <v>9</v>
      </c>
      <c r="AK88">
        <v>8</v>
      </c>
      <c r="AL88" t="s">
        <v>9</v>
      </c>
      <c r="AM88" t="s">
        <v>9</v>
      </c>
      <c r="AN88">
        <v>13</v>
      </c>
      <c r="AO88" t="s">
        <v>153</v>
      </c>
    </row>
    <row r="89" spans="1:41" x14ac:dyDescent="0.25">
      <c r="A89">
        <f>IF(C89&lt;&gt;"", COUNTA($C$2:C89), "")</f>
        <v>88</v>
      </c>
      <c r="B89">
        <v>25</v>
      </c>
      <c r="C89" t="s">
        <v>197</v>
      </c>
      <c r="D89" t="s">
        <v>198</v>
      </c>
      <c r="E89" t="s">
        <v>132</v>
      </c>
      <c r="F89" t="s">
        <v>132</v>
      </c>
      <c r="G89">
        <v>0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  <c r="R89" t="s">
        <v>17</v>
      </c>
      <c r="S89" t="s">
        <v>17</v>
      </c>
      <c r="T89" t="s">
        <v>17</v>
      </c>
      <c r="U89" t="s">
        <v>17</v>
      </c>
      <c r="V89" t="s">
        <v>17</v>
      </c>
      <c r="W89" t="s">
        <v>17</v>
      </c>
      <c r="X89" t="s">
        <v>17</v>
      </c>
      <c r="Y89" t="s">
        <v>17</v>
      </c>
      <c r="Z89" t="s">
        <v>17</v>
      </c>
      <c r="AA89" t="s">
        <v>17</v>
      </c>
      <c r="AB89" t="s">
        <v>17</v>
      </c>
      <c r="AC89" t="s">
        <v>17</v>
      </c>
      <c r="AD89" t="s">
        <v>17</v>
      </c>
      <c r="AE89" t="s">
        <v>17</v>
      </c>
      <c r="AF89">
        <v>0</v>
      </c>
      <c r="AG89">
        <v>0</v>
      </c>
      <c r="AH89" t="s">
        <v>18</v>
      </c>
      <c r="AI89">
        <v>0</v>
      </c>
      <c r="AJ89" t="s">
        <v>18</v>
      </c>
      <c r="AK89">
        <v>0</v>
      </c>
      <c r="AL89" t="s">
        <v>18</v>
      </c>
      <c r="AM89" t="s">
        <v>18</v>
      </c>
      <c r="AN89">
        <v>31</v>
      </c>
      <c r="AO89" t="s">
        <v>153</v>
      </c>
    </row>
    <row r="90" spans="1:41" x14ac:dyDescent="0.25">
      <c r="A90">
        <f>IF(C90&lt;&gt;"", COUNTA($C$2:C90), "")</f>
        <v>89</v>
      </c>
      <c r="B90">
        <v>26</v>
      </c>
      <c r="C90" t="s">
        <v>199</v>
      </c>
      <c r="D90" t="s">
        <v>200</v>
      </c>
      <c r="E90" t="s">
        <v>6</v>
      </c>
      <c r="F90" t="s">
        <v>24</v>
      </c>
      <c r="G90">
        <f t="shared" si="2"/>
        <v>33</v>
      </c>
      <c r="H90" t="s">
        <v>0</v>
      </c>
      <c r="I90" t="s">
        <v>0</v>
      </c>
      <c r="J90" t="s">
        <v>0</v>
      </c>
      <c r="K90" t="s">
        <v>1</v>
      </c>
      <c r="L90" t="s">
        <v>2</v>
      </c>
      <c r="M90" t="s">
        <v>0</v>
      </c>
      <c r="N90" t="s">
        <v>1</v>
      </c>
      <c r="O90" t="s">
        <v>0</v>
      </c>
      <c r="P90" t="s">
        <v>0</v>
      </c>
      <c r="Q90" t="s">
        <v>2</v>
      </c>
      <c r="R90" t="s">
        <v>1</v>
      </c>
      <c r="S90" t="s">
        <v>2</v>
      </c>
      <c r="T90" t="s">
        <v>2</v>
      </c>
      <c r="U90" t="s">
        <v>2</v>
      </c>
      <c r="V90" t="s">
        <v>0</v>
      </c>
      <c r="W90" t="s">
        <v>0</v>
      </c>
      <c r="X90" t="s">
        <v>2</v>
      </c>
      <c r="Y90" t="s">
        <v>0</v>
      </c>
      <c r="Z90" t="s">
        <v>2</v>
      </c>
      <c r="AA90" t="s">
        <v>0</v>
      </c>
      <c r="AB90" t="s">
        <v>0</v>
      </c>
      <c r="AC90" t="s">
        <v>0</v>
      </c>
      <c r="AD90" t="s">
        <v>2</v>
      </c>
      <c r="AE90" t="s">
        <v>0</v>
      </c>
      <c r="AF90">
        <v>5</v>
      </c>
      <c r="AG90">
        <v>8</v>
      </c>
      <c r="AH90" t="s">
        <v>9</v>
      </c>
      <c r="AI90">
        <v>8</v>
      </c>
      <c r="AJ90" t="s">
        <v>9</v>
      </c>
      <c r="AK90">
        <v>8</v>
      </c>
      <c r="AL90" t="s">
        <v>9</v>
      </c>
      <c r="AM90" t="s">
        <v>9</v>
      </c>
      <c r="AN90">
        <v>1</v>
      </c>
      <c r="AO90" t="s">
        <v>153</v>
      </c>
    </row>
    <row r="91" spans="1:41" x14ac:dyDescent="0.25">
      <c r="A91">
        <f>IF(C91&lt;&gt;"", COUNTA($C$2:C91), "")</f>
        <v>90</v>
      </c>
      <c r="B91">
        <v>27</v>
      </c>
      <c r="C91" t="s">
        <v>201</v>
      </c>
      <c r="D91" t="s">
        <v>202</v>
      </c>
      <c r="E91" t="s">
        <v>6</v>
      </c>
      <c r="F91" t="s">
        <v>24</v>
      </c>
      <c r="G91">
        <f t="shared" si="2"/>
        <v>33</v>
      </c>
      <c r="H91" t="s">
        <v>0</v>
      </c>
      <c r="I91" t="s">
        <v>0</v>
      </c>
      <c r="J91" t="s">
        <v>0</v>
      </c>
      <c r="K91" t="s">
        <v>1</v>
      </c>
      <c r="L91" t="s">
        <v>2</v>
      </c>
      <c r="M91" t="s">
        <v>0</v>
      </c>
      <c r="N91" t="s">
        <v>1</v>
      </c>
      <c r="O91" t="s">
        <v>0</v>
      </c>
      <c r="P91" t="s">
        <v>0</v>
      </c>
      <c r="Q91" t="s">
        <v>2</v>
      </c>
      <c r="R91" t="s">
        <v>1</v>
      </c>
      <c r="S91" t="s">
        <v>2</v>
      </c>
      <c r="T91" t="s">
        <v>2</v>
      </c>
      <c r="U91" t="s">
        <v>2</v>
      </c>
      <c r="V91" t="s">
        <v>0</v>
      </c>
      <c r="W91" t="s">
        <v>0</v>
      </c>
      <c r="X91" t="s">
        <v>2</v>
      </c>
      <c r="Y91" t="s">
        <v>0</v>
      </c>
      <c r="Z91" t="s">
        <v>2</v>
      </c>
      <c r="AA91" t="s">
        <v>0</v>
      </c>
      <c r="AB91" t="s">
        <v>0</v>
      </c>
      <c r="AC91" t="s">
        <v>0</v>
      </c>
      <c r="AD91" t="s">
        <v>2</v>
      </c>
      <c r="AE91" t="s">
        <v>0</v>
      </c>
      <c r="AF91">
        <v>5</v>
      </c>
      <c r="AG91">
        <v>8</v>
      </c>
      <c r="AH91" t="s">
        <v>9</v>
      </c>
      <c r="AI91">
        <v>8</v>
      </c>
      <c r="AJ91" t="s">
        <v>9</v>
      </c>
      <c r="AK91">
        <v>8</v>
      </c>
      <c r="AL91" t="s">
        <v>9</v>
      </c>
      <c r="AM91" t="s">
        <v>9</v>
      </c>
      <c r="AN91">
        <v>1</v>
      </c>
      <c r="AO91" t="s">
        <v>153</v>
      </c>
    </row>
    <row r="92" spans="1:41" x14ac:dyDescent="0.25">
      <c r="A92">
        <f>IF(C92&lt;&gt;"", COUNTA($C$2:C92), "")</f>
        <v>91</v>
      </c>
      <c r="B92">
        <v>28</v>
      </c>
      <c r="C92" t="s">
        <v>203</v>
      </c>
      <c r="D92" t="s">
        <v>125</v>
      </c>
      <c r="E92" t="s">
        <v>6</v>
      </c>
      <c r="F92" t="s">
        <v>204</v>
      </c>
      <c r="G92">
        <f t="shared" si="2"/>
        <v>28</v>
      </c>
      <c r="H92" t="s">
        <v>0</v>
      </c>
      <c r="I92" t="s">
        <v>0</v>
      </c>
      <c r="J92" t="s">
        <v>0</v>
      </c>
      <c r="K92" t="s">
        <v>1</v>
      </c>
      <c r="L92" t="s">
        <v>8</v>
      </c>
      <c r="M92" t="s">
        <v>0</v>
      </c>
      <c r="N92" t="s">
        <v>2</v>
      </c>
      <c r="O92" t="s">
        <v>2</v>
      </c>
      <c r="P92" t="s">
        <v>2</v>
      </c>
      <c r="Q92" t="s">
        <v>8</v>
      </c>
      <c r="R92" t="s">
        <v>0</v>
      </c>
      <c r="S92" t="s">
        <v>8</v>
      </c>
      <c r="T92" t="s">
        <v>2</v>
      </c>
      <c r="U92" t="s">
        <v>2</v>
      </c>
      <c r="V92" t="s">
        <v>0</v>
      </c>
      <c r="W92" t="s">
        <v>0</v>
      </c>
      <c r="X92" t="s">
        <v>2</v>
      </c>
      <c r="Y92" t="s">
        <v>0</v>
      </c>
      <c r="Z92" t="s">
        <v>2</v>
      </c>
      <c r="AA92" t="s">
        <v>0</v>
      </c>
      <c r="AB92" t="s">
        <v>0</v>
      </c>
      <c r="AC92" t="s">
        <v>0</v>
      </c>
      <c r="AD92" t="s">
        <v>2</v>
      </c>
      <c r="AE92" t="s">
        <v>0</v>
      </c>
      <c r="AF92">
        <v>3.5</v>
      </c>
      <c r="AG92">
        <v>5</v>
      </c>
      <c r="AH92" t="s">
        <v>10</v>
      </c>
      <c r="AI92">
        <v>4</v>
      </c>
      <c r="AJ92" t="s">
        <v>28</v>
      </c>
      <c r="AK92">
        <v>8</v>
      </c>
      <c r="AL92" t="s">
        <v>9</v>
      </c>
      <c r="AM92" t="s">
        <v>28</v>
      </c>
      <c r="AN92">
        <v>27</v>
      </c>
      <c r="AO92" t="s">
        <v>153</v>
      </c>
    </row>
    <row r="93" spans="1:41" x14ac:dyDescent="0.25">
      <c r="A93">
        <f>IF(C93&lt;&gt;"", COUNTA($C$2:C93), "")</f>
        <v>92</v>
      </c>
      <c r="B93">
        <v>29</v>
      </c>
      <c r="C93" t="s">
        <v>205</v>
      </c>
      <c r="D93" t="s">
        <v>206</v>
      </c>
      <c r="E93" t="s">
        <v>6</v>
      </c>
      <c r="F93" t="s">
        <v>82</v>
      </c>
      <c r="G93">
        <f t="shared" si="2"/>
        <v>37</v>
      </c>
      <c r="H93" t="s">
        <v>0</v>
      </c>
      <c r="I93" t="s">
        <v>0</v>
      </c>
      <c r="J93" t="s">
        <v>8</v>
      </c>
      <c r="K93" t="s">
        <v>1</v>
      </c>
      <c r="L93" t="s">
        <v>2</v>
      </c>
      <c r="M93" t="s">
        <v>0</v>
      </c>
      <c r="N93" t="s">
        <v>2</v>
      </c>
      <c r="O93" t="s">
        <v>0</v>
      </c>
      <c r="P93" t="s">
        <v>0</v>
      </c>
      <c r="Q93" t="s">
        <v>2</v>
      </c>
      <c r="R93" t="s">
        <v>1</v>
      </c>
      <c r="S93" t="s">
        <v>2</v>
      </c>
      <c r="T93" t="s">
        <v>2</v>
      </c>
      <c r="U93" t="s">
        <v>2</v>
      </c>
      <c r="V93" t="s">
        <v>0</v>
      </c>
      <c r="W93" t="s">
        <v>0</v>
      </c>
      <c r="X93" t="s">
        <v>2</v>
      </c>
      <c r="Y93" t="s">
        <v>0</v>
      </c>
      <c r="Z93" t="s">
        <v>2</v>
      </c>
      <c r="AA93" t="s">
        <v>0</v>
      </c>
      <c r="AB93" t="s">
        <v>0</v>
      </c>
      <c r="AC93" t="s">
        <v>0</v>
      </c>
      <c r="AD93" t="s">
        <v>2</v>
      </c>
      <c r="AE93" t="s">
        <v>0</v>
      </c>
      <c r="AF93">
        <v>4.5999999999999996</v>
      </c>
      <c r="AG93">
        <v>6</v>
      </c>
      <c r="AH93" t="s">
        <v>10</v>
      </c>
      <c r="AI93">
        <v>8</v>
      </c>
      <c r="AJ93" t="s">
        <v>9</v>
      </c>
      <c r="AK93">
        <v>8</v>
      </c>
      <c r="AL93" t="s">
        <v>9</v>
      </c>
      <c r="AM93" t="s">
        <v>9</v>
      </c>
      <c r="AN93">
        <v>13</v>
      </c>
      <c r="AO93" t="s">
        <v>153</v>
      </c>
    </row>
    <row r="94" spans="1:41" x14ac:dyDescent="0.25">
      <c r="A94">
        <f>IF(C94&lt;&gt;"", COUNTA($C$2:C94), "")</f>
        <v>93</v>
      </c>
      <c r="B94">
        <v>30</v>
      </c>
      <c r="C94" t="s">
        <v>207</v>
      </c>
      <c r="D94" t="s">
        <v>208</v>
      </c>
      <c r="E94" t="s">
        <v>6</v>
      </c>
      <c r="F94" t="s">
        <v>14</v>
      </c>
      <c r="G94">
        <f t="shared" si="2"/>
        <v>35</v>
      </c>
      <c r="H94" t="s">
        <v>2</v>
      </c>
      <c r="I94" t="s">
        <v>0</v>
      </c>
      <c r="J94" t="s">
        <v>0</v>
      </c>
      <c r="K94" t="s">
        <v>1</v>
      </c>
      <c r="L94" t="s">
        <v>2</v>
      </c>
      <c r="M94" t="s">
        <v>0</v>
      </c>
      <c r="N94" t="s">
        <v>1</v>
      </c>
      <c r="O94" t="s">
        <v>0</v>
      </c>
      <c r="P94" t="s">
        <v>0</v>
      </c>
      <c r="Q94" t="s">
        <v>2</v>
      </c>
      <c r="R94" t="s">
        <v>1</v>
      </c>
      <c r="S94" t="s">
        <v>2</v>
      </c>
      <c r="T94" t="s">
        <v>2</v>
      </c>
      <c r="U94" t="s">
        <v>8</v>
      </c>
      <c r="V94" t="s">
        <v>0</v>
      </c>
      <c r="W94" t="s">
        <v>0</v>
      </c>
      <c r="X94" t="s">
        <v>2</v>
      </c>
      <c r="Y94" t="s">
        <v>0</v>
      </c>
      <c r="Z94" t="s">
        <v>2</v>
      </c>
      <c r="AA94" t="s">
        <v>0</v>
      </c>
      <c r="AB94" t="s">
        <v>0</v>
      </c>
      <c r="AC94" t="s">
        <v>0</v>
      </c>
      <c r="AD94" t="s">
        <v>2</v>
      </c>
      <c r="AE94" t="s">
        <v>0</v>
      </c>
      <c r="AF94">
        <v>4.5999999999999996</v>
      </c>
      <c r="AG94">
        <v>7</v>
      </c>
      <c r="AH94" t="s">
        <v>9</v>
      </c>
      <c r="AI94">
        <v>7</v>
      </c>
      <c r="AJ94" t="s">
        <v>9</v>
      </c>
      <c r="AK94">
        <v>8</v>
      </c>
      <c r="AL94" t="s">
        <v>9</v>
      </c>
      <c r="AM94" t="s">
        <v>9</v>
      </c>
      <c r="AN94">
        <v>13</v>
      </c>
      <c r="AO94" t="s">
        <v>153</v>
      </c>
    </row>
    <row r="95" spans="1:41" x14ac:dyDescent="0.25">
      <c r="A95">
        <f>IF(C95&lt;&gt;"", COUNTA($C$2:C95), "")</f>
        <v>94</v>
      </c>
      <c r="B95">
        <v>31</v>
      </c>
      <c r="C95" t="s">
        <v>209</v>
      </c>
      <c r="D95" t="s">
        <v>210</v>
      </c>
      <c r="E95" t="s">
        <v>6</v>
      </c>
      <c r="F95" t="s">
        <v>111</v>
      </c>
      <c r="G95">
        <f t="shared" ref="G95:G96" si="3">ROUND(((HOUR(F95)+MINUTE(F95)/60) - (HOUR(E95)+MINUTE(E95)/60)) * 60,1)</f>
        <v>31</v>
      </c>
      <c r="H95" t="s">
        <v>0</v>
      </c>
      <c r="I95" t="s">
        <v>0</v>
      </c>
      <c r="J95" t="s">
        <v>0</v>
      </c>
      <c r="K95" t="s">
        <v>1</v>
      </c>
      <c r="L95" t="s">
        <v>8</v>
      </c>
      <c r="M95" t="s">
        <v>0</v>
      </c>
      <c r="N95" t="s">
        <v>0</v>
      </c>
      <c r="O95" t="s">
        <v>1</v>
      </c>
      <c r="P95" t="s">
        <v>0</v>
      </c>
      <c r="Q95" t="s">
        <v>2</v>
      </c>
      <c r="R95" t="s">
        <v>1</v>
      </c>
      <c r="S95" t="s">
        <v>2</v>
      </c>
      <c r="T95" t="s">
        <v>8</v>
      </c>
      <c r="U95" t="s">
        <v>8</v>
      </c>
      <c r="V95" t="s">
        <v>0</v>
      </c>
      <c r="W95" t="s">
        <v>0</v>
      </c>
      <c r="X95" t="s">
        <v>2</v>
      </c>
      <c r="Y95" t="s">
        <v>0</v>
      </c>
      <c r="Z95" t="s">
        <v>2</v>
      </c>
      <c r="AA95" t="s">
        <v>0</v>
      </c>
      <c r="AB95" t="s">
        <v>0</v>
      </c>
      <c r="AC95" t="s">
        <v>0</v>
      </c>
      <c r="AD95" t="s">
        <v>2</v>
      </c>
      <c r="AE95" t="s">
        <v>0</v>
      </c>
      <c r="AF95">
        <v>4</v>
      </c>
      <c r="AG95">
        <v>5</v>
      </c>
      <c r="AH95" t="s">
        <v>10</v>
      </c>
      <c r="AI95">
        <v>6</v>
      </c>
      <c r="AJ95" t="s">
        <v>10</v>
      </c>
      <c r="AK95">
        <v>8</v>
      </c>
      <c r="AL95" t="s">
        <v>9</v>
      </c>
      <c r="AM95" t="s">
        <v>10</v>
      </c>
      <c r="AN95">
        <v>25</v>
      </c>
      <c r="AO95" t="s">
        <v>153</v>
      </c>
    </row>
    <row r="96" spans="1:41" x14ac:dyDescent="0.25">
      <c r="A96">
        <f>IF(C96&lt;&gt;"", COUNTA($C$2:C96), "")</f>
        <v>95</v>
      </c>
      <c r="B96">
        <v>32</v>
      </c>
      <c r="C96" t="s">
        <v>211</v>
      </c>
      <c r="D96" t="s">
        <v>164</v>
      </c>
      <c r="E96" t="s">
        <v>6</v>
      </c>
      <c r="F96" t="s">
        <v>7</v>
      </c>
      <c r="G96">
        <f t="shared" si="3"/>
        <v>36</v>
      </c>
      <c r="H96" t="s">
        <v>0</v>
      </c>
      <c r="I96" t="s">
        <v>0</v>
      </c>
      <c r="J96" t="s">
        <v>0</v>
      </c>
      <c r="K96" t="s">
        <v>1</v>
      </c>
      <c r="L96" t="s">
        <v>1</v>
      </c>
      <c r="M96" t="s">
        <v>0</v>
      </c>
      <c r="N96" t="s">
        <v>1</v>
      </c>
      <c r="O96" t="s">
        <v>0</v>
      </c>
      <c r="P96" t="s">
        <v>0</v>
      </c>
      <c r="Q96" t="s">
        <v>2</v>
      </c>
      <c r="R96" t="s">
        <v>1</v>
      </c>
      <c r="S96" t="s">
        <v>2</v>
      </c>
      <c r="T96" t="s">
        <v>2</v>
      </c>
      <c r="U96" t="s">
        <v>2</v>
      </c>
      <c r="V96" t="s">
        <v>0</v>
      </c>
      <c r="W96" t="s">
        <v>0</v>
      </c>
      <c r="X96" t="s">
        <v>2</v>
      </c>
      <c r="Y96" t="s">
        <v>0</v>
      </c>
      <c r="Z96" t="s">
        <v>2</v>
      </c>
      <c r="AA96" t="s">
        <v>0</v>
      </c>
      <c r="AB96" t="s">
        <v>0</v>
      </c>
      <c r="AC96" t="s">
        <v>0</v>
      </c>
      <c r="AD96" t="s">
        <v>2</v>
      </c>
      <c r="AE96" t="s">
        <v>0</v>
      </c>
      <c r="AF96">
        <v>4.8</v>
      </c>
      <c r="AG96">
        <v>7</v>
      </c>
      <c r="AH96" t="s">
        <v>9</v>
      </c>
      <c r="AI96">
        <v>8</v>
      </c>
      <c r="AJ96" t="s">
        <v>9</v>
      </c>
      <c r="AK96">
        <v>8</v>
      </c>
      <c r="AL96" t="s">
        <v>9</v>
      </c>
      <c r="AM96" t="s">
        <v>9</v>
      </c>
      <c r="AN96">
        <v>10</v>
      </c>
      <c r="AO96" t="s">
        <v>153</v>
      </c>
    </row>
    <row r="97" spans="1:41" x14ac:dyDescent="0.25">
      <c r="A97">
        <f>IF(C97&lt;&gt;"", COUNTA($C$2:C97), "")</f>
        <v>96</v>
      </c>
      <c r="B97">
        <v>1</v>
      </c>
      <c r="C97" t="s">
        <v>212</v>
      </c>
      <c r="D97" t="s">
        <v>196</v>
      </c>
      <c r="E97" t="s">
        <v>213</v>
      </c>
      <c r="F97" t="s">
        <v>214</v>
      </c>
      <c r="G97">
        <f>ROUND(((HOUR(F97)+MINUTE(F97)/60) - (HOUR(E97)+MINUTE(E97)/60)) * 60,1)</f>
        <v>88</v>
      </c>
      <c r="H97" t="s">
        <v>0</v>
      </c>
      <c r="I97" t="s">
        <v>0</v>
      </c>
      <c r="J97" t="s">
        <v>0</v>
      </c>
      <c r="K97" t="s">
        <v>1</v>
      </c>
      <c r="L97" t="s">
        <v>2</v>
      </c>
      <c r="M97" t="s">
        <v>0</v>
      </c>
      <c r="N97" t="s">
        <v>8</v>
      </c>
      <c r="O97" t="s">
        <v>0</v>
      </c>
      <c r="P97" t="s">
        <v>0</v>
      </c>
      <c r="Q97" t="s">
        <v>2</v>
      </c>
      <c r="R97" t="s">
        <v>1</v>
      </c>
      <c r="S97" t="s">
        <v>2</v>
      </c>
      <c r="T97" t="s">
        <v>2</v>
      </c>
      <c r="U97" t="s">
        <v>8</v>
      </c>
      <c r="V97" t="s">
        <v>0</v>
      </c>
      <c r="W97" t="s">
        <v>0</v>
      </c>
      <c r="X97" t="s">
        <v>2</v>
      </c>
      <c r="Y97" t="s">
        <v>0</v>
      </c>
      <c r="Z97" t="s">
        <v>2</v>
      </c>
      <c r="AA97" t="s">
        <v>0</v>
      </c>
      <c r="AB97" t="s">
        <v>0</v>
      </c>
      <c r="AC97" t="s">
        <v>0</v>
      </c>
      <c r="AD97" t="s">
        <v>2</v>
      </c>
      <c r="AE97" t="s">
        <v>0</v>
      </c>
      <c r="AG97">
        <v>4.5999999999999996</v>
      </c>
      <c r="AH97">
        <v>7</v>
      </c>
      <c r="AI97" t="s">
        <v>9</v>
      </c>
      <c r="AJ97">
        <v>7</v>
      </c>
      <c r="AK97" t="s">
        <v>9</v>
      </c>
      <c r="AL97">
        <v>8</v>
      </c>
      <c r="AM97" t="s">
        <v>9</v>
      </c>
      <c r="AN97" t="s">
        <v>9</v>
      </c>
      <c r="AO97" t="s">
        <v>215</v>
      </c>
    </row>
    <row r="98" spans="1:41" x14ac:dyDescent="0.25">
      <c r="A98">
        <f>IF(C98&lt;&gt;"", COUNTA($C$2:C98), "")</f>
        <v>97</v>
      </c>
      <c r="B98">
        <v>2</v>
      </c>
      <c r="C98" t="s">
        <v>216</v>
      </c>
      <c r="D98" t="s">
        <v>217</v>
      </c>
      <c r="E98" t="s">
        <v>213</v>
      </c>
      <c r="F98" t="s">
        <v>49</v>
      </c>
      <c r="G98">
        <f t="shared" ref="G98:G123" si="4">ROUND(((HOUR(F98)+MINUTE(F98)/60) - (HOUR(E98)+MINUTE(E98)/60)) * 60,1)</f>
        <v>38</v>
      </c>
      <c r="H98" t="s">
        <v>0</v>
      </c>
      <c r="I98" t="s">
        <v>0</v>
      </c>
      <c r="J98" t="s">
        <v>0</v>
      </c>
      <c r="K98" t="s">
        <v>1</v>
      </c>
      <c r="L98" t="s">
        <v>2</v>
      </c>
      <c r="M98" t="s">
        <v>0</v>
      </c>
      <c r="N98" t="s">
        <v>1</v>
      </c>
      <c r="O98" t="s">
        <v>0</v>
      </c>
      <c r="P98" t="s">
        <v>0</v>
      </c>
      <c r="Q98" t="s">
        <v>2</v>
      </c>
      <c r="R98" t="s">
        <v>1</v>
      </c>
      <c r="S98" t="s">
        <v>2</v>
      </c>
      <c r="T98" t="s">
        <v>2</v>
      </c>
      <c r="U98" t="s">
        <v>2</v>
      </c>
      <c r="V98" t="s">
        <v>0</v>
      </c>
      <c r="W98" t="s">
        <v>0</v>
      </c>
      <c r="X98" t="s">
        <v>2</v>
      </c>
      <c r="Y98" t="s">
        <v>0</v>
      </c>
      <c r="Z98" t="s">
        <v>1</v>
      </c>
      <c r="AA98" t="s">
        <v>0</v>
      </c>
      <c r="AB98" t="s">
        <v>0</v>
      </c>
      <c r="AC98" t="s">
        <v>0</v>
      </c>
      <c r="AD98" t="s">
        <v>2</v>
      </c>
      <c r="AE98" t="s">
        <v>0</v>
      </c>
      <c r="AG98">
        <v>4.8</v>
      </c>
      <c r="AH98">
        <v>8</v>
      </c>
      <c r="AI98" t="s">
        <v>9</v>
      </c>
      <c r="AJ98">
        <v>8</v>
      </c>
      <c r="AK98" t="s">
        <v>9</v>
      </c>
      <c r="AL98">
        <v>7</v>
      </c>
      <c r="AM98" t="s">
        <v>9</v>
      </c>
      <c r="AN98" t="s">
        <v>9</v>
      </c>
      <c r="AO98" t="s">
        <v>215</v>
      </c>
    </row>
    <row r="99" spans="1:41" x14ac:dyDescent="0.25">
      <c r="A99">
        <f>IF(C99&lt;&gt;"", COUNTA($C$2:C99), "")</f>
        <v>98</v>
      </c>
      <c r="B99">
        <v>3</v>
      </c>
      <c r="C99" t="s">
        <v>218</v>
      </c>
      <c r="D99" t="s">
        <v>219</v>
      </c>
      <c r="E99" t="s">
        <v>213</v>
      </c>
      <c r="F99" t="s">
        <v>220</v>
      </c>
      <c r="G99">
        <f t="shared" si="4"/>
        <v>20</v>
      </c>
      <c r="H99" t="s">
        <v>0</v>
      </c>
      <c r="I99" t="s">
        <v>0</v>
      </c>
      <c r="J99" t="s">
        <v>0</v>
      </c>
      <c r="K99" t="s">
        <v>1</v>
      </c>
      <c r="L99" t="s">
        <v>2</v>
      </c>
      <c r="M99" t="s">
        <v>0</v>
      </c>
      <c r="N99" t="s">
        <v>8</v>
      </c>
      <c r="O99" t="s">
        <v>0</v>
      </c>
      <c r="P99" t="s">
        <v>0</v>
      </c>
      <c r="Q99" t="s">
        <v>2</v>
      </c>
      <c r="R99" t="s">
        <v>1</v>
      </c>
      <c r="S99" t="s">
        <v>2</v>
      </c>
      <c r="T99" t="s">
        <v>0</v>
      </c>
      <c r="U99" t="s">
        <v>8</v>
      </c>
      <c r="V99" t="s">
        <v>0</v>
      </c>
      <c r="W99" t="s">
        <v>0</v>
      </c>
      <c r="X99" t="s">
        <v>2</v>
      </c>
      <c r="Y99" t="s">
        <v>0</v>
      </c>
      <c r="Z99" t="s">
        <v>2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G99">
        <v>4.2</v>
      </c>
      <c r="AH99">
        <v>7</v>
      </c>
      <c r="AI99" t="s">
        <v>9</v>
      </c>
      <c r="AJ99">
        <v>6</v>
      </c>
      <c r="AK99" t="s">
        <v>10</v>
      </c>
      <c r="AL99">
        <v>7</v>
      </c>
      <c r="AM99" t="s">
        <v>9</v>
      </c>
      <c r="AN99" t="s">
        <v>10</v>
      </c>
      <c r="AO99" t="s">
        <v>215</v>
      </c>
    </row>
    <row r="100" spans="1:41" x14ac:dyDescent="0.25">
      <c r="A100">
        <f>IF(C100&lt;&gt;"", COUNTA($C$2:C100), "")</f>
        <v>99</v>
      </c>
      <c r="B100">
        <v>4</v>
      </c>
      <c r="C100" t="s">
        <v>221</v>
      </c>
      <c r="D100" t="s">
        <v>222</v>
      </c>
      <c r="E100" t="s">
        <v>213</v>
      </c>
      <c r="F100" t="s">
        <v>7</v>
      </c>
      <c r="G100">
        <f t="shared" si="4"/>
        <v>29</v>
      </c>
      <c r="H100" t="s">
        <v>0</v>
      </c>
      <c r="I100" t="s">
        <v>0</v>
      </c>
      <c r="J100" t="s">
        <v>0</v>
      </c>
      <c r="K100" t="s">
        <v>1</v>
      </c>
      <c r="L100" t="s">
        <v>1</v>
      </c>
      <c r="M100" t="s">
        <v>0</v>
      </c>
      <c r="N100" t="s">
        <v>0</v>
      </c>
      <c r="O100" t="s">
        <v>1</v>
      </c>
      <c r="P100" t="s">
        <v>0</v>
      </c>
      <c r="Q100" t="s">
        <v>2</v>
      </c>
      <c r="R100" t="s">
        <v>1</v>
      </c>
      <c r="S100" t="s">
        <v>2</v>
      </c>
      <c r="T100" t="s">
        <v>2</v>
      </c>
      <c r="U100" t="s">
        <v>2</v>
      </c>
      <c r="V100" t="s">
        <v>0</v>
      </c>
      <c r="W100" t="s">
        <v>0</v>
      </c>
      <c r="X100" t="s">
        <v>2</v>
      </c>
      <c r="Y100" t="s">
        <v>0</v>
      </c>
      <c r="Z100" t="s">
        <v>2</v>
      </c>
      <c r="AA100" t="s">
        <v>0</v>
      </c>
      <c r="AB100" t="s">
        <v>0</v>
      </c>
      <c r="AC100" t="s">
        <v>0</v>
      </c>
      <c r="AD100" t="s">
        <v>2</v>
      </c>
      <c r="AE100" t="s">
        <v>0</v>
      </c>
      <c r="AG100">
        <v>4.4000000000000004</v>
      </c>
      <c r="AH100">
        <v>5</v>
      </c>
      <c r="AI100" t="s">
        <v>10</v>
      </c>
      <c r="AJ100">
        <v>8</v>
      </c>
      <c r="AK100" t="s">
        <v>9</v>
      </c>
      <c r="AL100">
        <v>8</v>
      </c>
      <c r="AM100" t="s">
        <v>9</v>
      </c>
      <c r="AN100" t="s">
        <v>9</v>
      </c>
      <c r="AO100" t="s">
        <v>215</v>
      </c>
    </row>
    <row r="101" spans="1:41" x14ac:dyDescent="0.25">
      <c r="A101">
        <f>IF(C101&lt;&gt;"", COUNTA($C$2:C101), "")</f>
        <v>100</v>
      </c>
      <c r="B101">
        <v>5</v>
      </c>
      <c r="C101" t="s">
        <v>223</v>
      </c>
      <c r="D101" t="s">
        <v>46</v>
      </c>
      <c r="E101" t="s">
        <v>213</v>
      </c>
      <c r="F101" t="s">
        <v>224</v>
      </c>
      <c r="G101">
        <f t="shared" si="4"/>
        <v>50</v>
      </c>
      <c r="H101" t="s">
        <v>0</v>
      </c>
      <c r="I101" t="s">
        <v>0</v>
      </c>
      <c r="J101" t="s">
        <v>0</v>
      </c>
      <c r="K101" t="s">
        <v>1</v>
      </c>
      <c r="L101" t="s">
        <v>2</v>
      </c>
      <c r="M101" t="s">
        <v>0</v>
      </c>
      <c r="N101" t="s">
        <v>1</v>
      </c>
      <c r="O101" t="s">
        <v>0</v>
      </c>
      <c r="P101" t="s">
        <v>0</v>
      </c>
      <c r="Q101" t="s">
        <v>2</v>
      </c>
      <c r="R101" t="s">
        <v>1</v>
      </c>
      <c r="S101" t="s">
        <v>2</v>
      </c>
      <c r="T101" t="s">
        <v>2</v>
      </c>
      <c r="U101" t="s">
        <v>2</v>
      </c>
      <c r="V101" t="s">
        <v>0</v>
      </c>
      <c r="W101" t="s">
        <v>0</v>
      </c>
      <c r="X101" t="s">
        <v>2</v>
      </c>
      <c r="Y101" t="s">
        <v>0</v>
      </c>
      <c r="Z101" t="s">
        <v>2</v>
      </c>
      <c r="AA101" t="s">
        <v>0</v>
      </c>
      <c r="AB101" t="s">
        <v>0</v>
      </c>
      <c r="AC101" t="s">
        <v>0</v>
      </c>
      <c r="AD101" t="s">
        <v>2</v>
      </c>
      <c r="AE101" t="s">
        <v>0</v>
      </c>
      <c r="AG101">
        <v>5</v>
      </c>
      <c r="AH101">
        <v>8</v>
      </c>
      <c r="AI101" t="s">
        <v>9</v>
      </c>
      <c r="AJ101">
        <v>8</v>
      </c>
      <c r="AK101" t="s">
        <v>9</v>
      </c>
      <c r="AL101">
        <v>8</v>
      </c>
      <c r="AM101" t="s">
        <v>9</v>
      </c>
      <c r="AN101" t="s">
        <v>9</v>
      </c>
      <c r="AO101" t="s">
        <v>215</v>
      </c>
    </row>
    <row r="102" spans="1:41" x14ac:dyDescent="0.25">
      <c r="A102">
        <f>IF(C102&lt;&gt;"", COUNTA($C$2:C102), "")</f>
        <v>101</v>
      </c>
      <c r="B102">
        <v>6</v>
      </c>
      <c r="C102" t="s">
        <v>225</v>
      </c>
      <c r="D102" t="s">
        <v>226</v>
      </c>
      <c r="E102" t="s">
        <v>132</v>
      </c>
      <c r="F102" t="s">
        <v>132</v>
      </c>
      <c r="G102">
        <v>0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  <c r="Q102" t="s">
        <v>17</v>
      </c>
      <c r="R102" t="s">
        <v>17</v>
      </c>
      <c r="S102" t="s">
        <v>17</v>
      </c>
      <c r="T102" t="s">
        <v>17</v>
      </c>
      <c r="U102" t="s">
        <v>17</v>
      </c>
      <c r="V102" t="s">
        <v>17</v>
      </c>
      <c r="W102" t="s">
        <v>17</v>
      </c>
      <c r="X102" t="s">
        <v>17</v>
      </c>
      <c r="Y102" t="s">
        <v>17</v>
      </c>
      <c r="Z102" t="s">
        <v>17</v>
      </c>
      <c r="AA102" t="s">
        <v>17</v>
      </c>
      <c r="AB102" t="s">
        <v>17</v>
      </c>
      <c r="AC102" t="s">
        <v>17</v>
      </c>
      <c r="AD102" t="s">
        <v>17</v>
      </c>
      <c r="AE102" t="s">
        <v>17</v>
      </c>
      <c r="AG102">
        <v>0</v>
      </c>
      <c r="AH102">
        <v>0</v>
      </c>
      <c r="AI102" t="s">
        <v>18</v>
      </c>
      <c r="AJ102">
        <v>0</v>
      </c>
      <c r="AK102" t="s">
        <v>18</v>
      </c>
      <c r="AL102">
        <v>0</v>
      </c>
      <c r="AM102" t="s">
        <v>18</v>
      </c>
      <c r="AN102" t="s">
        <v>18</v>
      </c>
      <c r="AO102" t="s">
        <v>215</v>
      </c>
    </row>
    <row r="103" spans="1:41" x14ac:dyDescent="0.25">
      <c r="A103">
        <f>IF(C103&lt;&gt;"", COUNTA($C$2:C103), "")</f>
        <v>102</v>
      </c>
      <c r="B103">
        <v>7</v>
      </c>
      <c r="C103" t="s">
        <v>227</v>
      </c>
      <c r="D103" t="s">
        <v>46</v>
      </c>
      <c r="E103" t="s">
        <v>213</v>
      </c>
      <c r="F103" t="s">
        <v>228</v>
      </c>
      <c r="G103">
        <f t="shared" si="4"/>
        <v>80</v>
      </c>
      <c r="H103" t="s">
        <v>0</v>
      </c>
      <c r="I103" t="s">
        <v>0</v>
      </c>
      <c r="J103" t="s">
        <v>0</v>
      </c>
      <c r="K103" t="s">
        <v>1</v>
      </c>
      <c r="L103" t="s">
        <v>1</v>
      </c>
      <c r="M103" t="s">
        <v>0</v>
      </c>
      <c r="N103" t="s">
        <v>2</v>
      </c>
      <c r="O103" t="s">
        <v>0</v>
      </c>
      <c r="P103" t="s">
        <v>0</v>
      </c>
      <c r="Q103" t="s">
        <v>2</v>
      </c>
      <c r="R103" t="s">
        <v>1</v>
      </c>
      <c r="S103" t="s">
        <v>2</v>
      </c>
      <c r="T103" t="s">
        <v>2</v>
      </c>
      <c r="U103" t="s">
        <v>8</v>
      </c>
      <c r="V103" t="s">
        <v>0</v>
      </c>
      <c r="W103" t="s">
        <v>0</v>
      </c>
      <c r="X103" t="s">
        <v>2</v>
      </c>
      <c r="Y103" t="s">
        <v>0</v>
      </c>
      <c r="Z103" t="s">
        <v>2</v>
      </c>
      <c r="AA103" t="s">
        <v>0</v>
      </c>
      <c r="AB103" t="s">
        <v>0</v>
      </c>
      <c r="AC103" t="s">
        <v>0</v>
      </c>
      <c r="AD103" t="s">
        <v>2</v>
      </c>
      <c r="AE103" t="s">
        <v>0</v>
      </c>
      <c r="AG103">
        <v>4.4000000000000004</v>
      </c>
      <c r="AH103">
        <v>6</v>
      </c>
      <c r="AI103" t="s">
        <v>10</v>
      </c>
      <c r="AJ103">
        <v>7</v>
      </c>
      <c r="AK103" t="s">
        <v>9</v>
      </c>
      <c r="AL103">
        <v>8</v>
      </c>
      <c r="AM103" t="s">
        <v>9</v>
      </c>
      <c r="AN103" t="s">
        <v>9</v>
      </c>
      <c r="AO103" t="s">
        <v>215</v>
      </c>
    </row>
    <row r="104" spans="1:41" x14ac:dyDescent="0.25">
      <c r="A104">
        <f>IF(C104&lt;&gt;"", COUNTA($C$2:C104), "")</f>
        <v>103</v>
      </c>
      <c r="B104">
        <v>8</v>
      </c>
      <c r="C104" t="s">
        <v>229</v>
      </c>
      <c r="D104" t="s">
        <v>113</v>
      </c>
      <c r="E104" t="s">
        <v>213</v>
      </c>
      <c r="F104" t="s">
        <v>230</v>
      </c>
      <c r="G104">
        <f t="shared" si="4"/>
        <v>61</v>
      </c>
      <c r="H104" t="s">
        <v>0</v>
      </c>
      <c r="I104" t="s">
        <v>0</v>
      </c>
      <c r="J104" t="s">
        <v>0</v>
      </c>
      <c r="K104" t="s">
        <v>1</v>
      </c>
      <c r="L104" t="s">
        <v>2</v>
      </c>
      <c r="M104" t="s">
        <v>0</v>
      </c>
      <c r="N104" t="s">
        <v>2</v>
      </c>
      <c r="O104" t="s">
        <v>0</v>
      </c>
      <c r="P104" t="s">
        <v>0</v>
      </c>
      <c r="Q104" t="s">
        <v>2</v>
      </c>
      <c r="R104" t="s">
        <v>1</v>
      </c>
      <c r="S104" t="s">
        <v>2</v>
      </c>
      <c r="T104" t="s">
        <v>2</v>
      </c>
      <c r="U104" t="s">
        <v>2</v>
      </c>
      <c r="V104" t="s">
        <v>0</v>
      </c>
      <c r="W104" t="s">
        <v>0</v>
      </c>
      <c r="X104" t="s">
        <v>2</v>
      </c>
      <c r="Y104" t="s">
        <v>0</v>
      </c>
      <c r="Z104" t="s">
        <v>2</v>
      </c>
      <c r="AA104" t="s">
        <v>0</v>
      </c>
      <c r="AB104" t="s">
        <v>0</v>
      </c>
      <c r="AC104" t="s">
        <v>0</v>
      </c>
      <c r="AD104" t="s">
        <v>2</v>
      </c>
      <c r="AE104" t="s">
        <v>0</v>
      </c>
      <c r="AG104">
        <v>4.8</v>
      </c>
      <c r="AH104">
        <v>7</v>
      </c>
      <c r="AI104" t="s">
        <v>9</v>
      </c>
      <c r="AJ104">
        <v>8</v>
      </c>
      <c r="AK104" t="s">
        <v>9</v>
      </c>
      <c r="AL104">
        <v>8</v>
      </c>
      <c r="AM104" t="s">
        <v>9</v>
      </c>
      <c r="AN104" t="s">
        <v>9</v>
      </c>
      <c r="AO104" t="s">
        <v>215</v>
      </c>
    </row>
    <row r="105" spans="1:41" x14ac:dyDescent="0.25">
      <c r="A105">
        <f>IF(C105&lt;&gt;"", COUNTA($C$2:C105), "")</f>
        <v>104</v>
      </c>
      <c r="B105">
        <v>9</v>
      </c>
      <c r="C105" t="s">
        <v>231</v>
      </c>
      <c r="D105" t="s">
        <v>113</v>
      </c>
      <c r="E105" t="s">
        <v>213</v>
      </c>
      <c r="F105" t="s">
        <v>232</v>
      </c>
      <c r="G105">
        <f t="shared" si="4"/>
        <v>62</v>
      </c>
      <c r="H105" t="s">
        <v>0</v>
      </c>
      <c r="I105" t="s">
        <v>0</v>
      </c>
      <c r="J105" t="s">
        <v>0</v>
      </c>
      <c r="K105" t="s">
        <v>0</v>
      </c>
      <c r="L105" t="s">
        <v>2</v>
      </c>
      <c r="M105" t="s">
        <v>0</v>
      </c>
      <c r="N105" t="s">
        <v>2</v>
      </c>
      <c r="O105" t="s">
        <v>1</v>
      </c>
      <c r="P105" t="s">
        <v>2</v>
      </c>
      <c r="Q105" t="s">
        <v>0</v>
      </c>
      <c r="R105" t="s">
        <v>1</v>
      </c>
      <c r="S105" t="s">
        <v>0</v>
      </c>
      <c r="T105" t="s">
        <v>2</v>
      </c>
      <c r="U105" t="s">
        <v>0</v>
      </c>
      <c r="V105" t="s">
        <v>8</v>
      </c>
      <c r="W105" t="s">
        <v>0</v>
      </c>
      <c r="X105" t="s">
        <v>2</v>
      </c>
      <c r="Y105" t="s">
        <v>0</v>
      </c>
      <c r="Z105" t="s">
        <v>2</v>
      </c>
      <c r="AA105" t="s">
        <v>0</v>
      </c>
      <c r="AB105" t="s">
        <v>0</v>
      </c>
      <c r="AC105" t="s">
        <v>0</v>
      </c>
      <c r="AD105" t="s">
        <v>2</v>
      </c>
      <c r="AE105" t="s">
        <v>0</v>
      </c>
      <c r="AG105">
        <v>3.3</v>
      </c>
      <c r="AH105">
        <v>5</v>
      </c>
      <c r="AI105" t="s">
        <v>10</v>
      </c>
      <c r="AJ105">
        <v>3</v>
      </c>
      <c r="AK105" t="s">
        <v>28</v>
      </c>
      <c r="AL105">
        <v>8</v>
      </c>
      <c r="AM105" t="s">
        <v>9</v>
      </c>
      <c r="AN105" t="s">
        <v>28</v>
      </c>
      <c r="AO105" t="s">
        <v>215</v>
      </c>
    </row>
    <row r="106" spans="1:41" x14ac:dyDescent="0.25">
      <c r="A106">
        <f>IF(C106&lt;&gt;"", COUNTA($C$2:C106), "")</f>
        <v>105</v>
      </c>
      <c r="B106">
        <v>10</v>
      </c>
      <c r="C106" t="s">
        <v>233</v>
      </c>
      <c r="D106" t="s">
        <v>234</v>
      </c>
      <c r="E106" t="s">
        <v>213</v>
      </c>
      <c r="F106" t="s">
        <v>214</v>
      </c>
      <c r="G106">
        <f t="shared" si="4"/>
        <v>88</v>
      </c>
      <c r="H106" t="s">
        <v>0</v>
      </c>
      <c r="I106" t="s">
        <v>0</v>
      </c>
      <c r="J106" t="s">
        <v>0</v>
      </c>
      <c r="K106" t="s">
        <v>1</v>
      </c>
      <c r="L106" t="s">
        <v>2</v>
      </c>
      <c r="M106" t="s">
        <v>0</v>
      </c>
      <c r="N106" t="s">
        <v>1</v>
      </c>
      <c r="O106" t="s">
        <v>0</v>
      </c>
      <c r="P106" t="s">
        <v>0</v>
      </c>
      <c r="Q106" t="s">
        <v>2</v>
      </c>
      <c r="R106" t="s">
        <v>1</v>
      </c>
      <c r="S106" t="s">
        <v>2</v>
      </c>
      <c r="T106" t="s">
        <v>2</v>
      </c>
      <c r="U106" t="s">
        <v>2</v>
      </c>
      <c r="V106" t="s">
        <v>0</v>
      </c>
      <c r="W106" t="s">
        <v>0</v>
      </c>
      <c r="X106" t="s">
        <v>2</v>
      </c>
      <c r="Y106" t="s">
        <v>37</v>
      </c>
      <c r="Z106" t="s">
        <v>2</v>
      </c>
      <c r="AA106" t="s">
        <v>0</v>
      </c>
      <c r="AB106" t="s">
        <v>0</v>
      </c>
      <c r="AC106" t="s">
        <v>0</v>
      </c>
      <c r="AD106" t="s">
        <v>2</v>
      </c>
      <c r="AE106" t="s">
        <v>0</v>
      </c>
      <c r="AG106">
        <v>4.8</v>
      </c>
      <c r="AH106">
        <v>8</v>
      </c>
      <c r="AI106" t="s">
        <v>9</v>
      </c>
      <c r="AJ106">
        <v>8</v>
      </c>
      <c r="AK106" t="s">
        <v>9</v>
      </c>
      <c r="AL106">
        <v>7</v>
      </c>
      <c r="AM106" t="s">
        <v>9</v>
      </c>
      <c r="AN106" t="s">
        <v>9</v>
      </c>
      <c r="AO106" t="s">
        <v>215</v>
      </c>
    </row>
    <row r="107" spans="1:41" x14ac:dyDescent="0.25">
      <c r="A107">
        <f>IF(C107&lt;&gt;"", COUNTA($C$2:C107), "")</f>
        <v>106</v>
      </c>
      <c r="B107">
        <v>11</v>
      </c>
      <c r="C107" t="s">
        <v>235</v>
      </c>
      <c r="D107" t="s">
        <v>236</v>
      </c>
      <c r="E107" t="s">
        <v>213</v>
      </c>
      <c r="F107" t="s">
        <v>214</v>
      </c>
      <c r="G107">
        <f t="shared" si="4"/>
        <v>88</v>
      </c>
      <c r="H107" t="s">
        <v>0</v>
      </c>
      <c r="I107" t="s">
        <v>0</v>
      </c>
      <c r="J107" t="s">
        <v>0</v>
      </c>
      <c r="K107" t="s">
        <v>1</v>
      </c>
      <c r="L107" t="s">
        <v>2</v>
      </c>
      <c r="M107" t="s">
        <v>0</v>
      </c>
      <c r="N107" t="s">
        <v>1</v>
      </c>
      <c r="O107" t="s">
        <v>0</v>
      </c>
      <c r="P107" t="s">
        <v>0</v>
      </c>
      <c r="Q107" t="s">
        <v>2</v>
      </c>
      <c r="R107" t="s">
        <v>1</v>
      </c>
      <c r="S107" t="s">
        <v>2</v>
      </c>
      <c r="T107" t="s">
        <v>2</v>
      </c>
      <c r="U107" t="s">
        <v>2</v>
      </c>
      <c r="V107" t="s">
        <v>0</v>
      </c>
      <c r="W107" t="s">
        <v>0</v>
      </c>
      <c r="X107" t="s">
        <v>2</v>
      </c>
      <c r="Y107" t="s">
        <v>0</v>
      </c>
      <c r="Z107" t="s">
        <v>2</v>
      </c>
      <c r="AA107" t="s">
        <v>0</v>
      </c>
      <c r="AB107" t="s">
        <v>0</v>
      </c>
      <c r="AC107" t="s">
        <v>0</v>
      </c>
      <c r="AD107" t="s">
        <v>2</v>
      </c>
      <c r="AE107" t="s">
        <v>0</v>
      </c>
      <c r="AG107">
        <v>5</v>
      </c>
      <c r="AH107">
        <v>8</v>
      </c>
      <c r="AI107" t="s">
        <v>9</v>
      </c>
      <c r="AJ107">
        <v>8</v>
      </c>
      <c r="AK107" t="s">
        <v>9</v>
      </c>
      <c r="AL107">
        <v>8</v>
      </c>
      <c r="AM107" t="s">
        <v>9</v>
      </c>
      <c r="AN107" t="s">
        <v>9</v>
      </c>
      <c r="AO107" t="s">
        <v>215</v>
      </c>
    </row>
    <row r="108" spans="1:41" x14ac:dyDescent="0.25">
      <c r="A108">
        <f>IF(C108&lt;&gt;"", COUNTA($C$2:C108), "")</f>
        <v>107</v>
      </c>
      <c r="B108">
        <v>12</v>
      </c>
      <c r="C108" t="s">
        <v>237</v>
      </c>
      <c r="D108" t="s">
        <v>150</v>
      </c>
      <c r="E108" t="s">
        <v>213</v>
      </c>
      <c r="F108" t="s">
        <v>220</v>
      </c>
      <c r="G108">
        <f t="shared" si="4"/>
        <v>20</v>
      </c>
      <c r="H108" t="s">
        <v>0</v>
      </c>
      <c r="I108" t="s">
        <v>0</v>
      </c>
      <c r="J108" t="s">
        <v>0</v>
      </c>
      <c r="K108" t="s">
        <v>1</v>
      </c>
      <c r="L108" t="s">
        <v>2</v>
      </c>
      <c r="M108" t="s">
        <v>0</v>
      </c>
      <c r="N108" t="s">
        <v>1</v>
      </c>
      <c r="O108" t="s">
        <v>0</v>
      </c>
      <c r="P108" t="s">
        <v>0</v>
      </c>
      <c r="Q108" t="s">
        <v>2</v>
      </c>
      <c r="R108" t="s">
        <v>1</v>
      </c>
      <c r="S108" t="s">
        <v>2</v>
      </c>
      <c r="T108" t="s">
        <v>2</v>
      </c>
      <c r="U108" t="s">
        <v>2</v>
      </c>
      <c r="V108" t="s">
        <v>0</v>
      </c>
      <c r="W108" t="s">
        <v>0</v>
      </c>
      <c r="X108" t="s">
        <v>2</v>
      </c>
      <c r="Y108" t="s">
        <v>2</v>
      </c>
      <c r="Z108" t="s">
        <v>0</v>
      </c>
      <c r="AA108" t="s">
        <v>2</v>
      </c>
      <c r="AB108" t="s">
        <v>2</v>
      </c>
      <c r="AC108" t="s">
        <v>0</v>
      </c>
      <c r="AD108" t="s">
        <v>2</v>
      </c>
      <c r="AE108" t="s">
        <v>2</v>
      </c>
      <c r="AG108">
        <v>4</v>
      </c>
      <c r="AH108">
        <v>8</v>
      </c>
      <c r="AI108" t="s">
        <v>9</v>
      </c>
      <c r="AJ108">
        <v>8</v>
      </c>
      <c r="AK108" t="s">
        <v>9</v>
      </c>
      <c r="AL108">
        <v>3</v>
      </c>
      <c r="AM108" t="s">
        <v>28</v>
      </c>
      <c r="AN108" t="s">
        <v>10</v>
      </c>
      <c r="AO108" t="s">
        <v>215</v>
      </c>
    </row>
    <row r="109" spans="1:41" x14ac:dyDescent="0.25">
      <c r="A109">
        <f>IF(C109&lt;&gt;"", COUNTA($C$2:C109), "")</f>
        <v>108</v>
      </c>
      <c r="B109">
        <v>13</v>
      </c>
      <c r="C109" t="s">
        <v>238</v>
      </c>
      <c r="D109" t="s">
        <v>46</v>
      </c>
      <c r="E109" t="s">
        <v>213</v>
      </c>
      <c r="F109" t="s">
        <v>65</v>
      </c>
      <c r="G109">
        <f t="shared" si="4"/>
        <v>37</v>
      </c>
      <c r="H109" t="s">
        <v>0</v>
      </c>
      <c r="I109" t="s">
        <v>0</v>
      </c>
      <c r="J109" t="s">
        <v>0</v>
      </c>
      <c r="K109" t="s">
        <v>1</v>
      </c>
      <c r="L109" t="s">
        <v>2</v>
      </c>
      <c r="M109" t="s">
        <v>0</v>
      </c>
      <c r="N109" t="s">
        <v>1</v>
      </c>
      <c r="O109" t="s">
        <v>0</v>
      </c>
      <c r="P109" t="s">
        <v>0</v>
      </c>
      <c r="Q109" t="s">
        <v>2</v>
      </c>
      <c r="R109" t="s">
        <v>1</v>
      </c>
      <c r="S109" t="s">
        <v>2</v>
      </c>
      <c r="T109" t="s">
        <v>2</v>
      </c>
      <c r="U109" t="s">
        <v>2</v>
      </c>
      <c r="V109" t="s">
        <v>0</v>
      </c>
      <c r="W109" t="s">
        <v>0</v>
      </c>
      <c r="X109" t="s">
        <v>2</v>
      </c>
      <c r="Y109" t="s">
        <v>0</v>
      </c>
      <c r="Z109" t="s">
        <v>2</v>
      </c>
      <c r="AA109" t="s">
        <v>0</v>
      </c>
      <c r="AB109" t="s">
        <v>0</v>
      </c>
      <c r="AC109" t="s">
        <v>0</v>
      </c>
      <c r="AD109" t="s">
        <v>2</v>
      </c>
      <c r="AE109" t="s">
        <v>0</v>
      </c>
      <c r="AG109">
        <v>5</v>
      </c>
      <c r="AH109">
        <v>8</v>
      </c>
      <c r="AI109" t="s">
        <v>9</v>
      </c>
      <c r="AJ109">
        <v>8</v>
      </c>
      <c r="AK109" t="s">
        <v>9</v>
      </c>
      <c r="AL109">
        <v>8</v>
      </c>
      <c r="AM109" t="s">
        <v>9</v>
      </c>
      <c r="AN109" t="s">
        <v>9</v>
      </c>
      <c r="AO109" t="s">
        <v>215</v>
      </c>
    </row>
    <row r="110" spans="1:41" x14ac:dyDescent="0.25">
      <c r="A110">
        <f>IF(C110&lt;&gt;"", COUNTA($C$2:C110), "")</f>
        <v>109</v>
      </c>
      <c r="B110">
        <v>14</v>
      </c>
      <c r="C110" t="s">
        <v>239</v>
      </c>
      <c r="D110" t="s">
        <v>134</v>
      </c>
      <c r="E110" t="s">
        <v>213</v>
      </c>
      <c r="F110" t="s">
        <v>49</v>
      </c>
      <c r="G110">
        <f t="shared" si="4"/>
        <v>38</v>
      </c>
      <c r="H110" t="s">
        <v>0</v>
      </c>
      <c r="I110" t="s">
        <v>1</v>
      </c>
      <c r="J110" t="s">
        <v>8</v>
      </c>
      <c r="K110" t="s">
        <v>2</v>
      </c>
      <c r="L110" t="s">
        <v>0</v>
      </c>
      <c r="M110" t="s">
        <v>2</v>
      </c>
      <c r="N110" t="s">
        <v>1</v>
      </c>
      <c r="O110" t="s">
        <v>1</v>
      </c>
      <c r="P110" t="s">
        <v>0</v>
      </c>
      <c r="Q110" t="s">
        <v>2</v>
      </c>
      <c r="R110" t="s">
        <v>1</v>
      </c>
      <c r="S110" t="s">
        <v>2</v>
      </c>
      <c r="T110" t="s">
        <v>0</v>
      </c>
      <c r="U110" t="s">
        <v>8</v>
      </c>
      <c r="V110" t="s">
        <v>0</v>
      </c>
      <c r="W110" t="s">
        <v>0</v>
      </c>
      <c r="X110" t="s">
        <v>2</v>
      </c>
      <c r="Y110" t="s">
        <v>0</v>
      </c>
      <c r="Z110" t="s">
        <v>2</v>
      </c>
      <c r="AA110" t="s">
        <v>0</v>
      </c>
      <c r="AB110" t="s">
        <v>0</v>
      </c>
      <c r="AC110" t="s">
        <v>0</v>
      </c>
      <c r="AD110" t="s">
        <v>2</v>
      </c>
      <c r="AE110" t="s">
        <v>0</v>
      </c>
      <c r="AG110">
        <v>3.3</v>
      </c>
      <c r="AH110">
        <v>2</v>
      </c>
      <c r="AI110" t="s">
        <v>18</v>
      </c>
      <c r="AJ110">
        <v>6</v>
      </c>
      <c r="AK110" t="s">
        <v>10</v>
      </c>
      <c r="AL110">
        <v>8</v>
      </c>
      <c r="AM110" t="s">
        <v>9</v>
      </c>
      <c r="AN110" t="s">
        <v>28</v>
      </c>
      <c r="AO110" t="s">
        <v>215</v>
      </c>
    </row>
    <row r="111" spans="1:41" x14ac:dyDescent="0.25">
      <c r="A111">
        <f>IF(C111&lt;&gt;"", COUNTA($C$2:C111), "")</f>
        <v>110</v>
      </c>
      <c r="B111">
        <v>15</v>
      </c>
      <c r="C111" t="s">
        <v>240</v>
      </c>
      <c r="D111" t="s">
        <v>184</v>
      </c>
      <c r="E111" t="s">
        <v>213</v>
      </c>
      <c r="F111" t="s">
        <v>220</v>
      </c>
      <c r="G111">
        <f t="shared" si="4"/>
        <v>20</v>
      </c>
      <c r="H111" t="s">
        <v>0</v>
      </c>
      <c r="I111" t="s">
        <v>0</v>
      </c>
      <c r="J111" t="s">
        <v>0</v>
      </c>
      <c r="K111" t="s">
        <v>1</v>
      </c>
      <c r="L111" t="s">
        <v>1</v>
      </c>
      <c r="M111" t="s">
        <v>0</v>
      </c>
      <c r="N111" t="s">
        <v>2</v>
      </c>
      <c r="O111" t="s">
        <v>1</v>
      </c>
      <c r="P111" t="s">
        <v>0</v>
      </c>
      <c r="Q111" t="s">
        <v>2</v>
      </c>
      <c r="R111" t="s">
        <v>1</v>
      </c>
      <c r="S111" t="s">
        <v>2</v>
      </c>
      <c r="T111" t="s">
        <v>2</v>
      </c>
      <c r="U111" t="s">
        <v>2</v>
      </c>
      <c r="V111" t="s">
        <v>0</v>
      </c>
      <c r="W111" t="s">
        <v>0</v>
      </c>
      <c r="X111" t="s">
        <v>2</v>
      </c>
      <c r="Y111" t="s">
        <v>0</v>
      </c>
      <c r="Z111" t="s">
        <v>2</v>
      </c>
      <c r="AA111" t="s">
        <v>0</v>
      </c>
      <c r="AB111" t="s">
        <v>0</v>
      </c>
      <c r="AC111" t="s">
        <v>0</v>
      </c>
      <c r="AD111" t="s">
        <v>2</v>
      </c>
      <c r="AE111" t="s">
        <v>0</v>
      </c>
      <c r="AG111">
        <v>4.4000000000000004</v>
      </c>
      <c r="AH111">
        <v>5</v>
      </c>
      <c r="AI111" t="s">
        <v>10</v>
      </c>
      <c r="AJ111">
        <v>8</v>
      </c>
      <c r="AK111" t="s">
        <v>9</v>
      </c>
      <c r="AL111">
        <v>8</v>
      </c>
      <c r="AM111" t="s">
        <v>9</v>
      </c>
      <c r="AN111" t="s">
        <v>9</v>
      </c>
      <c r="AO111" t="s">
        <v>215</v>
      </c>
    </row>
    <row r="112" spans="1:41" x14ac:dyDescent="0.25">
      <c r="A112">
        <f>IF(C112&lt;&gt;"", COUNTA($C$2:C112), "")</f>
        <v>111</v>
      </c>
      <c r="B112">
        <v>16</v>
      </c>
      <c r="C112" t="s">
        <v>241</v>
      </c>
      <c r="D112" t="s">
        <v>242</v>
      </c>
      <c r="E112" t="s">
        <v>213</v>
      </c>
      <c r="F112" t="s">
        <v>243</v>
      </c>
      <c r="G112">
        <f t="shared" si="4"/>
        <v>66</v>
      </c>
      <c r="H112" t="s">
        <v>0</v>
      </c>
      <c r="I112" t="s">
        <v>0</v>
      </c>
      <c r="J112" t="s">
        <v>8</v>
      </c>
      <c r="K112" t="s">
        <v>1</v>
      </c>
      <c r="L112" t="s">
        <v>1</v>
      </c>
      <c r="M112" t="s">
        <v>0</v>
      </c>
      <c r="N112" t="s">
        <v>2</v>
      </c>
      <c r="O112" t="s">
        <v>0</v>
      </c>
      <c r="P112" t="s">
        <v>0</v>
      </c>
      <c r="Q112" t="s">
        <v>2</v>
      </c>
      <c r="R112" t="s">
        <v>1</v>
      </c>
      <c r="S112" t="s">
        <v>2</v>
      </c>
      <c r="T112" t="s">
        <v>2</v>
      </c>
      <c r="U112" t="s">
        <v>2</v>
      </c>
      <c r="V112" t="s">
        <v>0</v>
      </c>
      <c r="W112" t="s">
        <v>0</v>
      </c>
      <c r="X112" t="s">
        <v>2</v>
      </c>
      <c r="Y112" t="s">
        <v>0</v>
      </c>
      <c r="Z112" t="s">
        <v>2</v>
      </c>
      <c r="AA112" t="s">
        <v>0</v>
      </c>
      <c r="AB112" t="s">
        <v>0</v>
      </c>
      <c r="AC112" t="s">
        <v>0</v>
      </c>
      <c r="AD112" t="s">
        <v>2</v>
      </c>
      <c r="AE112" t="s">
        <v>0</v>
      </c>
      <c r="AG112">
        <v>4.4000000000000004</v>
      </c>
      <c r="AH112">
        <v>5</v>
      </c>
      <c r="AI112" t="s">
        <v>10</v>
      </c>
      <c r="AJ112">
        <v>8</v>
      </c>
      <c r="AK112" t="s">
        <v>9</v>
      </c>
      <c r="AL112">
        <v>8</v>
      </c>
      <c r="AM112" t="s">
        <v>9</v>
      </c>
      <c r="AN112" t="s">
        <v>9</v>
      </c>
      <c r="AO112" t="s">
        <v>215</v>
      </c>
    </row>
    <row r="113" spans="1:41" x14ac:dyDescent="0.25">
      <c r="A113">
        <f>IF(C113&lt;&gt;"", COUNTA($C$2:C113), "")</f>
        <v>112</v>
      </c>
      <c r="B113">
        <v>17</v>
      </c>
      <c r="C113" t="s">
        <v>244</v>
      </c>
      <c r="D113" t="s">
        <v>245</v>
      </c>
      <c r="E113" t="s">
        <v>213</v>
      </c>
      <c r="F113" t="s">
        <v>7</v>
      </c>
      <c r="G113">
        <f t="shared" si="4"/>
        <v>29</v>
      </c>
      <c r="H113" t="s">
        <v>0</v>
      </c>
      <c r="I113" t="s">
        <v>0</v>
      </c>
      <c r="J113" t="s">
        <v>0</v>
      </c>
      <c r="K113" t="s">
        <v>1</v>
      </c>
      <c r="L113" t="s">
        <v>2</v>
      </c>
      <c r="M113" t="s">
        <v>0</v>
      </c>
      <c r="N113" t="s">
        <v>0</v>
      </c>
      <c r="O113" t="s">
        <v>0</v>
      </c>
      <c r="P113" t="s">
        <v>0</v>
      </c>
      <c r="Q113" t="s">
        <v>2</v>
      </c>
      <c r="R113" t="s">
        <v>1</v>
      </c>
      <c r="S113" t="s">
        <v>2</v>
      </c>
      <c r="T113" t="s">
        <v>2</v>
      </c>
      <c r="U113" t="s">
        <v>2</v>
      </c>
      <c r="V113" t="s">
        <v>0</v>
      </c>
      <c r="W113" t="s">
        <v>0</v>
      </c>
      <c r="X113" t="s">
        <v>2</v>
      </c>
      <c r="Y113" t="s">
        <v>0</v>
      </c>
      <c r="Z113" t="s">
        <v>2</v>
      </c>
      <c r="AA113" t="s">
        <v>0</v>
      </c>
      <c r="AB113" t="s">
        <v>0</v>
      </c>
      <c r="AC113" t="s">
        <v>0</v>
      </c>
      <c r="AD113" t="s">
        <v>2</v>
      </c>
      <c r="AE113" t="s">
        <v>0</v>
      </c>
      <c r="AG113">
        <v>4.8</v>
      </c>
      <c r="AH113">
        <v>7</v>
      </c>
      <c r="AI113" t="s">
        <v>9</v>
      </c>
      <c r="AJ113">
        <v>8</v>
      </c>
      <c r="AK113" t="s">
        <v>9</v>
      </c>
      <c r="AL113">
        <v>8</v>
      </c>
      <c r="AM113" t="s">
        <v>9</v>
      </c>
      <c r="AN113" t="s">
        <v>9</v>
      </c>
      <c r="AO113" t="s">
        <v>215</v>
      </c>
    </row>
    <row r="114" spans="1:41" x14ac:dyDescent="0.25">
      <c r="A114">
        <f>IF(C114&lt;&gt;"", COUNTA($C$2:C114), "")</f>
        <v>113</v>
      </c>
      <c r="B114">
        <v>18</v>
      </c>
      <c r="C114" t="s">
        <v>246</v>
      </c>
      <c r="D114" t="s">
        <v>247</v>
      </c>
      <c r="E114" t="s">
        <v>213</v>
      </c>
      <c r="F114" t="s">
        <v>204</v>
      </c>
      <c r="G114">
        <f t="shared" si="4"/>
        <v>21</v>
      </c>
      <c r="H114" t="s">
        <v>0</v>
      </c>
      <c r="I114" t="s">
        <v>0</v>
      </c>
      <c r="J114" t="s">
        <v>0</v>
      </c>
      <c r="K114" t="s">
        <v>1</v>
      </c>
      <c r="L114" t="s">
        <v>2</v>
      </c>
      <c r="M114" t="s">
        <v>0</v>
      </c>
      <c r="N114" t="s">
        <v>1</v>
      </c>
      <c r="O114" t="s">
        <v>0</v>
      </c>
      <c r="P114" t="s">
        <v>0</v>
      </c>
      <c r="Q114" t="s">
        <v>2</v>
      </c>
      <c r="R114" t="s">
        <v>1</v>
      </c>
      <c r="S114" t="s">
        <v>2</v>
      </c>
      <c r="T114" t="s">
        <v>2</v>
      </c>
      <c r="U114" t="s">
        <v>2</v>
      </c>
      <c r="V114" t="s">
        <v>0</v>
      </c>
      <c r="W114" t="s">
        <v>0</v>
      </c>
      <c r="X114" t="s">
        <v>2</v>
      </c>
      <c r="Y114" t="s">
        <v>2</v>
      </c>
      <c r="Z114" t="s">
        <v>0</v>
      </c>
      <c r="AA114" t="s">
        <v>2</v>
      </c>
      <c r="AB114" t="s">
        <v>2</v>
      </c>
      <c r="AC114" t="s">
        <v>0</v>
      </c>
      <c r="AD114" t="s">
        <v>2</v>
      </c>
      <c r="AE114" t="s">
        <v>2</v>
      </c>
      <c r="AG114">
        <v>4</v>
      </c>
      <c r="AH114">
        <v>8</v>
      </c>
      <c r="AI114" t="s">
        <v>9</v>
      </c>
      <c r="AJ114">
        <v>8</v>
      </c>
      <c r="AK114" t="s">
        <v>9</v>
      </c>
      <c r="AL114">
        <v>3</v>
      </c>
      <c r="AM114" t="s">
        <v>28</v>
      </c>
      <c r="AN114" t="s">
        <v>10</v>
      </c>
      <c r="AO114" t="s">
        <v>215</v>
      </c>
    </row>
    <row r="115" spans="1:41" x14ac:dyDescent="0.25">
      <c r="A115">
        <f>IF(C115&lt;&gt;"", COUNTA($C$2:C115), "")</f>
        <v>114</v>
      </c>
      <c r="B115">
        <v>19</v>
      </c>
      <c r="C115" t="s">
        <v>248</v>
      </c>
      <c r="D115" t="s">
        <v>247</v>
      </c>
      <c r="E115" t="s">
        <v>213</v>
      </c>
      <c r="F115" t="s">
        <v>162</v>
      </c>
      <c r="G115">
        <f t="shared" si="4"/>
        <v>18</v>
      </c>
      <c r="H115" t="s">
        <v>0</v>
      </c>
      <c r="I115" t="s">
        <v>0</v>
      </c>
      <c r="J115" t="s">
        <v>0</v>
      </c>
      <c r="K115" t="s">
        <v>1</v>
      </c>
      <c r="L115" t="s">
        <v>2</v>
      </c>
      <c r="M115" t="s">
        <v>0</v>
      </c>
      <c r="N115" t="s">
        <v>2</v>
      </c>
      <c r="O115" t="s">
        <v>0</v>
      </c>
      <c r="P115" t="s">
        <v>0</v>
      </c>
      <c r="Q115" t="s">
        <v>2</v>
      </c>
      <c r="R115" t="s">
        <v>1</v>
      </c>
      <c r="S115" t="s">
        <v>2</v>
      </c>
      <c r="T115" t="s">
        <v>2</v>
      </c>
      <c r="U115" t="s">
        <v>2</v>
      </c>
      <c r="V115" t="s">
        <v>0</v>
      </c>
      <c r="W115" t="s">
        <v>0</v>
      </c>
      <c r="X115" t="s">
        <v>2</v>
      </c>
      <c r="Y115" t="s">
        <v>0</v>
      </c>
      <c r="Z115" t="s">
        <v>2</v>
      </c>
      <c r="AA115" t="s">
        <v>0</v>
      </c>
      <c r="AB115" t="s">
        <v>0</v>
      </c>
      <c r="AC115" t="s">
        <v>0</v>
      </c>
      <c r="AD115" t="s">
        <v>2</v>
      </c>
      <c r="AE115" t="s">
        <v>0</v>
      </c>
      <c r="AG115">
        <v>4.8</v>
      </c>
      <c r="AH115">
        <v>7</v>
      </c>
      <c r="AI115" t="s">
        <v>9</v>
      </c>
      <c r="AJ115">
        <v>8</v>
      </c>
      <c r="AK115" t="s">
        <v>9</v>
      </c>
      <c r="AL115">
        <v>8</v>
      </c>
      <c r="AM115" t="s">
        <v>9</v>
      </c>
      <c r="AN115" t="s">
        <v>9</v>
      </c>
      <c r="AO115" t="s">
        <v>215</v>
      </c>
    </row>
    <row r="116" spans="1:41" x14ac:dyDescent="0.25">
      <c r="A116">
        <f>IF(C116&lt;&gt;"", COUNTA($C$2:C116), "")</f>
        <v>115</v>
      </c>
      <c r="B116">
        <v>20</v>
      </c>
      <c r="C116" t="s">
        <v>80</v>
      </c>
      <c r="D116" t="s">
        <v>249</v>
      </c>
      <c r="E116" t="s">
        <v>213</v>
      </c>
      <c r="F116" t="s">
        <v>250</v>
      </c>
      <c r="G116">
        <f t="shared" si="4"/>
        <v>49</v>
      </c>
      <c r="H116" t="s">
        <v>0</v>
      </c>
      <c r="I116" t="s">
        <v>0</v>
      </c>
      <c r="J116" t="s">
        <v>0</v>
      </c>
      <c r="K116" t="s">
        <v>1</v>
      </c>
      <c r="L116" t="s">
        <v>2</v>
      </c>
      <c r="M116" t="s">
        <v>0</v>
      </c>
      <c r="N116" t="s">
        <v>0</v>
      </c>
      <c r="O116" t="s">
        <v>0</v>
      </c>
      <c r="P116" t="s">
        <v>0</v>
      </c>
      <c r="Q116" t="s">
        <v>2</v>
      </c>
      <c r="R116" t="s">
        <v>1</v>
      </c>
      <c r="S116" t="s">
        <v>2</v>
      </c>
      <c r="T116" t="s">
        <v>2</v>
      </c>
      <c r="U116" t="s">
        <v>2</v>
      </c>
      <c r="V116" t="s">
        <v>0</v>
      </c>
      <c r="W116" t="s">
        <v>0</v>
      </c>
      <c r="X116" t="s">
        <v>2</v>
      </c>
      <c r="Y116" t="s">
        <v>0</v>
      </c>
      <c r="Z116" t="s">
        <v>2</v>
      </c>
      <c r="AA116" t="s">
        <v>0</v>
      </c>
      <c r="AB116" t="s">
        <v>0</v>
      </c>
      <c r="AC116" t="s">
        <v>0</v>
      </c>
      <c r="AD116" t="s">
        <v>2</v>
      </c>
      <c r="AE116" t="s">
        <v>0</v>
      </c>
      <c r="AG116">
        <v>4.8</v>
      </c>
      <c r="AH116">
        <v>7</v>
      </c>
      <c r="AI116" t="s">
        <v>9</v>
      </c>
      <c r="AJ116">
        <v>8</v>
      </c>
      <c r="AK116" t="s">
        <v>9</v>
      </c>
      <c r="AL116">
        <v>8</v>
      </c>
      <c r="AM116" t="s">
        <v>9</v>
      </c>
      <c r="AN116" t="s">
        <v>9</v>
      </c>
      <c r="AO116" t="s">
        <v>215</v>
      </c>
    </row>
    <row r="117" spans="1:41" x14ac:dyDescent="0.25">
      <c r="A117">
        <f>IF(C117&lt;&gt;"", COUNTA($C$2:C117), "")</f>
        <v>116</v>
      </c>
      <c r="B117">
        <v>21</v>
      </c>
      <c r="C117" t="s">
        <v>251</v>
      </c>
      <c r="D117" t="s">
        <v>252</v>
      </c>
      <c r="E117" t="s">
        <v>213</v>
      </c>
      <c r="F117" t="s">
        <v>214</v>
      </c>
      <c r="G117">
        <f t="shared" si="4"/>
        <v>88</v>
      </c>
      <c r="H117" t="s">
        <v>0</v>
      </c>
      <c r="I117" t="s">
        <v>0</v>
      </c>
      <c r="J117" t="s">
        <v>0</v>
      </c>
      <c r="K117" t="s">
        <v>1</v>
      </c>
      <c r="L117" t="s">
        <v>2</v>
      </c>
      <c r="M117" t="s">
        <v>0</v>
      </c>
      <c r="N117" t="s">
        <v>0</v>
      </c>
      <c r="O117" t="s">
        <v>0</v>
      </c>
      <c r="P117" t="s">
        <v>0</v>
      </c>
      <c r="Q117" t="s">
        <v>2</v>
      </c>
      <c r="R117" t="s">
        <v>1</v>
      </c>
      <c r="S117" t="s">
        <v>2</v>
      </c>
      <c r="T117" t="s">
        <v>2</v>
      </c>
      <c r="U117" t="s">
        <v>2</v>
      </c>
      <c r="V117" t="s">
        <v>0</v>
      </c>
      <c r="W117" t="s">
        <v>0</v>
      </c>
      <c r="X117" t="s">
        <v>2</v>
      </c>
      <c r="Y117" t="s">
        <v>0</v>
      </c>
      <c r="Z117" t="s">
        <v>2</v>
      </c>
      <c r="AA117" t="s">
        <v>0</v>
      </c>
      <c r="AB117" t="s">
        <v>0</v>
      </c>
      <c r="AC117" t="s">
        <v>0</v>
      </c>
      <c r="AD117" t="s">
        <v>2</v>
      </c>
      <c r="AE117" t="s">
        <v>0</v>
      </c>
      <c r="AG117">
        <v>4.8</v>
      </c>
      <c r="AH117">
        <v>7</v>
      </c>
      <c r="AI117" t="s">
        <v>9</v>
      </c>
      <c r="AJ117">
        <v>8</v>
      </c>
      <c r="AK117" t="s">
        <v>9</v>
      </c>
      <c r="AL117">
        <v>8</v>
      </c>
      <c r="AM117" t="s">
        <v>9</v>
      </c>
      <c r="AN117" t="s">
        <v>9</v>
      </c>
      <c r="AO117" t="s">
        <v>215</v>
      </c>
    </row>
    <row r="118" spans="1:41" x14ac:dyDescent="0.25">
      <c r="A118">
        <f>IF(C118&lt;&gt;"", COUNTA($C$2:C118), "")</f>
        <v>117</v>
      </c>
      <c r="B118">
        <v>22</v>
      </c>
      <c r="C118" t="s">
        <v>253</v>
      </c>
      <c r="D118" t="s">
        <v>113</v>
      </c>
      <c r="E118" t="s">
        <v>213</v>
      </c>
      <c r="F118" t="s">
        <v>214</v>
      </c>
      <c r="G118">
        <f t="shared" si="4"/>
        <v>88</v>
      </c>
      <c r="H118" t="s">
        <v>0</v>
      </c>
      <c r="I118" t="s">
        <v>0</v>
      </c>
      <c r="J118" t="s">
        <v>0</v>
      </c>
      <c r="K118" t="s">
        <v>1</v>
      </c>
      <c r="L118" t="s">
        <v>2</v>
      </c>
      <c r="M118" t="s">
        <v>0</v>
      </c>
      <c r="N118" t="s">
        <v>1</v>
      </c>
      <c r="O118" t="s">
        <v>0</v>
      </c>
      <c r="P118" t="s">
        <v>0</v>
      </c>
      <c r="Q118" t="s">
        <v>2</v>
      </c>
      <c r="R118" t="s">
        <v>1</v>
      </c>
      <c r="S118" t="s">
        <v>2</v>
      </c>
      <c r="T118" t="s">
        <v>2</v>
      </c>
      <c r="U118" t="s">
        <v>2</v>
      </c>
      <c r="V118" t="s">
        <v>0</v>
      </c>
      <c r="W118" t="s">
        <v>0</v>
      </c>
      <c r="X118" t="s">
        <v>2</v>
      </c>
      <c r="Y118" t="s">
        <v>0</v>
      </c>
      <c r="Z118" t="s">
        <v>2</v>
      </c>
      <c r="AA118" t="s">
        <v>0</v>
      </c>
      <c r="AB118" t="s">
        <v>0</v>
      </c>
      <c r="AC118" t="s">
        <v>0</v>
      </c>
      <c r="AD118" t="s">
        <v>2</v>
      </c>
      <c r="AE118" t="s">
        <v>0</v>
      </c>
      <c r="AG118">
        <v>5</v>
      </c>
      <c r="AH118">
        <v>8</v>
      </c>
      <c r="AI118" t="s">
        <v>9</v>
      </c>
      <c r="AJ118">
        <v>8</v>
      </c>
      <c r="AK118" t="s">
        <v>9</v>
      </c>
      <c r="AL118">
        <v>8</v>
      </c>
      <c r="AM118" t="s">
        <v>9</v>
      </c>
      <c r="AN118" t="s">
        <v>9</v>
      </c>
      <c r="AO118" t="s">
        <v>215</v>
      </c>
    </row>
    <row r="119" spans="1:41" x14ac:dyDescent="0.25">
      <c r="A119">
        <f>IF(C119&lt;&gt;"", COUNTA($C$2:C119), "")</f>
        <v>118</v>
      </c>
      <c r="B119">
        <v>23</v>
      </c>
      <c r="C119" t="s">
        <v>254</v>
      </c>
      <c r="D119" t="s">
        <v>255</v>
      </c>
      <c r="E119" t="s">
        <v>213</v>
      </c>
      <c r="F119" t="s">
        <v>214</v>
      </c>
      <c r="G119">
        <f t="shared" si="4"/>
        <v>88</v>
      </c>
      <c r="H119" t="s">
        <v>0</v>
      </c>
      <c r="I119" t="s">
        <v>0</v>
      </c>
      <c r="J119" t="s">
        <v>0</v>
      </c>
      <c r="K119" t="s">
        <v>1</v>
      </c>
      <c r="L119" t="s">
        <v>2</v>
      </c>
      <c r="M119" t="s">
        <v>0</v>
      </c>
      <c r="N119" t="s">
        <v>1</v>
      </c>
      <c r="O119" t="s">
        <v>0</v>
      </c>
      <c r="P119" t="s">
        <v>0</v>
      </c>
      <c r="Q119" t="s">
        <v>2</v>
      </c>
      <c r="R119" t="s">
        <v>1</v>
      </c>
      <c r="S119" t="s">
        <v>2</v>
      </c>
      <c r="T119" t="s">
        <v>2</v>
      </c>
      <c r="U119" t="s">
        <v>2</v>
      </c>
      <c r="V119" t="s">
        <v>0</v>
      </c>
      <c r="W119" t="s">
        <v>0</v>
      </c>
      <c r="X119" t="s">
        <v>2</v>
      </c>
      <c r="Y119" t="s">
        <v>0</v>
      </c>
      <c r="Z119" t="s">
        <v>2</v>
      </c>
      <c r="AA119" t="s">
        <v>0</v>
      </c>
      <c r="AB119" t="s">
        <v>0</v>
      </c>
      <c r="AC119" t="s">
        <v>0</v>
      </c>
      <c r="AD119" t="s">
        <v>2</v>
      </c>
      <c r="AE119" t="s">
        <v>0</v>
      </c>
      <c r="AG119">
        <v>5</v>
      </c>
      <c r="AH119">
        <v>8</v>
      </c>
      <c r="AI119" t="s">
        <v>9</v>
      </c>
      <c r="AJ119">
        <v>8</v>
      </c>
      <c r="AK119" t="s">
        <v>9</v>
      </c>
      <c r="AL119">
        <v>8</v>
      </c>
      <c r="AM119" t="s">
        <v>9</v>
      </c>
      <c r="AN119" t="s">
        <v>9</v>
      </c>
      <c r="AO119" t="s">
        <v>215</v>
      </c>
    </row>
    <row r="120" spans="1:41" x14ac:dyDescent="0.25">
      <c r="A120">
        <f>IF(C120&lt;&gt;"", COUNTA($C$2:C120), "")</f>
        <v>119</v>
      </c>
      <c r="B120">
        <v>24</v>
      </c>
      <c r="C120" t="s">
        <v>256</v>
      </c>
      <c r="D120" t="s">
        <v>257</v>
      </c>
      <c r="E120" t="s">
        <v>213</v>
      </c>
      <c r="F120" t="s">
        <v>49</v>
      </c>
      <c r="G120">
        <f t="shared" si="4"/>
        <v>38</v>
      </c>
      <c r="H120" t="s">
        <v>0</v>
      </c>
      <c r="I120" t="s">
        <v>0</v>
      </c>
      <c r="J120" t="s">
        <v>0</v>
      </c>
      <c r="K120" t="s">
        <v>1</v>
      </c>
      <c r="L120" t="s">
        <v>2</v>
      </c>
      <c r="M120" t="s">
        <v>0</v>
      </c>
      <c r="N120" t="s">
        <v>1</v>
      </c>
      <c r="O120" t="s">
        <v>0</v>
      </c>
      <c r="P120" t="s">
        <v>0</v>
      </c>
      <c r="Q120" t="s">
        <v>2</v>
      </c>
      <c r="R120" t="s">
        <v>1</v>
      </c>
      <c r="S120" t="s">
        <v>2</v>
      </c>
      <c r="T120" t="s">
        <v>2</v>
      </c>
      <c r="U120" t="s">
        <v>2</v>
      </c>
      <c r="V120" t="s">
        <v>0</v>
      </c>
      <c r="W120" t="s">
        <v>0</v>
      </c>
      <c r="X120" t="s">
        <v>2</v>
      </c>
      <c r="Y120" t="s">
        <v>0</v>
      </c>
      <c r="Z120" t="s">
        <v>2</v>
      </c>
      <c r="AA120" t="s">
        <v>0</v>
      </c>
      <c r="AB120" t="s">
        <v>0</v>
      </c>
      <c r="AC120" t="s">
        <v>0</v>
      </c>
      <c r="AD120" t="s">
        <v>2</v>
      </c>
      <c r="AE120" t="s">
        <v>0</v>
      </c>
      <c r="AG120">
        <v>5</v>
      </c>
      <c r="AH120">
        <v>8</v>
      </c>
      <c r="AI120" t="s">
        <v>9</v>
      </c>
      <c r="AJ120">
        <v>8</v>
      </c>
      <c r="AK120" t="s">
        <v>9</v>
      </c>
      <c r="AL120">
        <v>8</v>
      </c>
      <c r="AM120" t="s">
        <v>9</v>
      </c>
      <c r="AN120" t="s">
        <v>9</v>
      </c>
      <c r="AO120" t="s">
        <v>215</v>
      </c>
    </row>
    <row r="121" spans="1:41" x14ac:dyDescent="0.25">
      <c r="A121">
        <f>IF(C121&lt;&gt;"", COUNTA($C$2:C121), "")</f>
        <v>120</v>
      </c>
      <c r="B121">
        <v>25</v>
      </c>
      <c r="C121" t="s">
        <v>258</v>
      </c>
      <c r="D121" t="s">
        <v>259</v>
      </c>
      <c r="E121" t="s">
        <v>213</v>
      </c>
      <c r="F121" t="s">
        <v>260</v>
      </c>
      <c r="G121">
        <f t="shared" si="4"/>
        <v>57</v>
      </c>
      <c r="H121" t="s">
        <v>0</v>
      </c>
      <c r="I121" t="s">
        <v>0</v>
      </c>
      <c r="J121" t="s">
        <v>0</v>
      </c>
      <c r="K121" t="s">
        <v>1</v>
      </c>
      <c r="L121" t="s">
        <v>2</v>
      </c>
      <c r="M121" t="s">
        <v>0</v>
      </c>
      <c r="N121" t="s">
        <v>2</v>
      </c>
      <c r="O121" t="s">
        <v>1</v>
      </c>
      <c r="P121" t="s">
        <v>0</v>
      </c>
      <c r="Q121" t="s">
        <v>2</v>
      </c>
      <c r="R121" t="s">
        <v>1</v>
      </c>
      <c r="S121" t="s">
        <v>2</v>
      </c>
      <c r="T121" t="s">
        <v>2</v>
      </c>
      <c r="U121" t="s">
        <v>2</v>
      </c>
      <c r="V121" t="s">
        <v>0</v>
      </c>
      <c r="W121" t="s">
        <v>0</v>
      </c>
      <c r="X121" t="s">
        <v>2</v>
      </c>
      <c r="Y121" t="s">
        <v>0</v>
      </c>
      <c r="Z121" t="s">
        <v>2</v>
      </c>
      <c r="AA121" t="s">
        <v>0</v>
      </c>
      <c r="AB121" t="s">
        <v>0</v>
      </c>
      <c r="AC121" t="s">
        <v>0</v>
      </c>
      <c r="AD121" t="s">
        <v>2</v>
      </c>
      <c r="AE121" t="s">
        <v>0</v>
      </c>
      <c r="AG121">
        <v>4.5999999999999996</v>
      </c>
      <c r="AH121">
        <v>6</v>
      </c>
      <c r="AI121" t="s">
        <v>10</v>
      </c>
      <c r="AJ121">
        <v>8</v>
      </c>
      <c r="AK121" t="s">
        <v>9</v>
      </c>
      <c r="AL121">
        <v>8</v>
      </c>
      <c r="AM121" t="s">
        <v>9</v>
      </c>
      <c r="AN121" t="s">
        <v>9</v>
      </c>
      <c r="AO121" t="s">
        <v>215</v>
      </c>
    </row>
    <row r="122" spans="1:41" x14ac:dyDescent="0.25">
      <c r="A122">
        <f>IF(C122&lt;&gt;"", COUNTA($C$2:C122), "")</f>
        <v>121</v>
      </c>
      <c r="B122">
        <v>26</v>
      </c>
      <c r="C122" t="s">
        <v>261</v>
      </c>
      <c r="D122" t="s">
        <v>262</v>
      </c>
      <c r="E122" t="s">
        <v>213</v>
      </c>
      <c r="F122" t="s">
        <v>263</v>
      </c>
      <c r="G122">
        <f t="shared" si="4"/>
        <v>56</v>
      </c>
      <c r="H122" t="s">
        <v>0</v>
      </c>
      <c r="I122" t="s">
        <v>0</v>
      </c>
      <c r="J122" t="s">
        <v>0</v>
      </c>
      <c r="K122" t="s">
        <v>1</v>
      </c>
      <c r="L122" t="s">
        <v>2</v>
      </c>
      <c r="M122" t="s">
        <v>0</v>
      </c>
      <c r="N122" t="s">
        <v>1</v>
      </c>
      <c r="O122" t="s">
        <v>0</v>
      </c>
      <c r="P122" t="s">
        <v>0</v>
      </c>
      <c r="Q122" t="s">
        <v>2</v>
      </c>
      <c r="R122" t="s">
        <v>1</v>
      </c>
      <c r="S122" t="s">
        <v>2</v>
      </c>
      <c r="T122" t="s">
        <v>2</v>
      </c>
      <c r="U122" t="s">
        <v>2</v>
      </c>
      <c r="V122" t="s">
        <v>0</v>
      </c>
      <c r="W122" t="s">
        <v>0</v>
      </c>
      <c r="X122" t="s">
        <v>2</v>
      </c>
      <c r="Y122" t="s">
        <v>0</v>
      </c>
      <c r="Z122" t="s">
        <v>2</v>
      </c>
      <c r="AA122" t="s">
        <v>0</v>
      </c>
      <c r="AB122" t="s">
        <v>0</v>
      </c>
      <c r="AC122" t="s">
        <v>0</v>
      </c>
      <c r="AD122" t="s">
        <v>2</v>
      </c>
      <c r="AE122" t="s">
        <v>0</v>
      </c>
      <c r="AG122">
        <v>5</v>
      </c>
      <c r="AH122">
        <v>8</v>
      </c>
      <c r="AI122" t="s">
        <v>9</v>
      </c>
      <c r="AJ122">
        <v>8</v>
      </c>
      <c r="AK122" t="s">
        <v>9</v>
      </c>
      <c r="AL122">
        <v>8</v>
      </c>
      <c r="AM122" t="s">
        <v>9</v>
      </c>
      <c r="AN122" t="s">
        <v>9</v>
      </c>
      <c r="AO122" t="s">
        <v>215</v>
      </c>
    </row>
    <row r="123" spans="1:41" x14ac:dyDescent="0.25">
      <c r="A123">
        <f>IF(C123&lt;&gt;"", COUNTA($C$2:C123), "")</f>
        <v>122</v>
      </c>
      <c r="B123">
        <v>27</v>
      </c>
      <c r="C123" t="s">
        <v>149</v>
      </c>
      <c r="D123" t="s">
        <v>59</v>
      </c>
      <c r="E123" t="s">
        <v>213</v>
      </c>
      <c r="F123" t="s">
        <v>264</v>
      </c>
      <c r="G123">
        <f t="shared" si="4"/>
        <v>51</v>
      </c>
      <c r="H123" t="s">
        <v>0</v>
      </c>
      <c r="I123" t="s">
        <v>0</v>
      </c>
      <c r="J123" t="s">
        <v>0</v>
      </c>
      <c r="K123" t="s">
        <v>1</v>
      </c>
      <c r="L123" t="s">
        <v>1</v>
      </c>
      <c r="M123" t="s">
        <v>0</v>
      </c>
      <c r="N123" t="s">
        <v>1</v>
      </c>
      <c r="O123" t="s">
        <v>1</v>
      </c>
      <c r="P123" t="s">
        <v>0</v>
      </c>
      <c r="Q123" t="s">
        <v>2</v>
      </c>
      <c r="R123" t="s">
        <v>1</v>
      </c>
      <c r="S123" t="s">
        <v>2</v>
      </c>
      <c r="T123" t="s">
        <v>2</v>
      </c>
      <c r="U123" t="s">
        <v>2</v>
      </c>
      <c r="V123" t="s">
        <v>0</v>
      </c>
      <c r="W123" t="s">
        <v>0</v>
      </c>
      <c r="X123" t="s">
        <v>2</v>
      </c>
      <c r="Y123" t="s">
        <v>0</v>
      </c>
      <c r="Z123" t="s">
        <v>2</v>
      </c>
      <c r="AA123" t="s">
        <v>0</v>
      </c>
      <c r="AB123" t="s">
        <v>0</v>
      </c>
      <c r="AC123" t="s">
        <v>0</v>
      </c>
      <c r="AD123" t="s">
        <v>8</v>
      </c>
      <c r="AE123" t="s">
        <v>0</v>
      </c>
      <c r="AG123">
        <v>4.4000000000000004</v>
      </c>
      <c r="AH123">
        <v>6</v>
      </c>
      <c r="AI123" t="s">
        <v>10</v>
      </c>
      <c r="AJ123">
        <v>8</v>
      </c>
      <c r="AK123" t="s">
        <v>9</v>
      </c>
      <c r="AL123">
        <v>7</v>
      </c>
      <c r="AM123" t="s">
        <v>9</v>
      </c>
      <c r="AN123" t="s">
        <v>9</v>
      </c>
      <c r="AO123" t="s">
        <v>215</v>
      </c>
    </row>
    <row r="124" spans="1:41" x14ac:dyDescent="0.25">
      <c r="A124">
        <f>IF(C124&lt;&gt;"", COUNTA($C$2:C124), "")</f>
        <v>123</v>
      </c>
      <c r="B124">
        <v>28</v>
      </c>
      <c r="C124" t="s">
        <v>265</v>
      </c>
      <c r="D124" t="s">
        <v>266</v>
      </c>
      <c r="E124" s="2" t="s">
        <v>213</v>
      </c>
      <c r="F124" s="2" t="s">
        <v>106</v>
      </c>
      <c r="G124">
        <f>ROUND(((HOUR(F124)+MINUTE(F124)/60) - (HOUR(E124)+MINUTE(E124)/60)) * 60,1)</f>
        <v>25</v>
      </c>
      <c r="H124" t="s">
        <v>0</v>
      </c>
      <c r="I124" t="s">
        <v>0</v>
      </c>
      <c r="J124" t="s">
        <v>0</v>
      </c>
      <c r="K124" t="s">
        <v>1</v>
      </c>
      <c r="L124" t="s">
        <v>1</v>
      </c>
      <c r="M124" t="s">
        <v>0</v>
      </c>
      <c r="N124" t="s">
        <v>2</v>
      </c>
      <c r="O124" t="s">
        <v>1</v>
      </c>
      <c r="P124" t="s">
        <v>0</v>
      </c>
      <c r="Q124" t="s">
        <v>2</v>
      </c>
      <c r="R124" t="s">
        <v>1</v>
      </c>
      <c r="S124" t="s">
        <v>2</v>
      </c>
      <c r="T124" t="s">
        <v>2</v>
      </c>
      <c r="U124" t="s">
        <v>2</v>
      </c>
      <c r="V124" t="s">
        <v>0</v>
      </c>
      <c r="W124" t="s">
        <v>0</v>
      </c>
      <c r="X124" t="s">
        <v>2</v>
      </c>
      <c r="Y124" t="s">
        <v>1</v>
      </c>
      <c r="Z124" t="s">
        <v>2</v>
      </c>
      <c r="AA124" t="s">
        <v>0</v>
      </c>
      <c r="AB124" t="s">
        <v>0</v>
      </c>
      <c r="AC124" t="s">
        <v>0</v>
      </c>
      <c r="AD124" t="s">
        <v>2</v>
      </c>
      <c r="AE124" t="s">
        <v>0</v>
      </c>
      <c r="AG124">
        <v>4.2</v>
      </c>
      <c r="AH124">
        <v>5</v>
      </c>
      <c r="AI124" t="s">
        <v>10</v>
      </c>
      <c r="AJ124">
        <v>8</v>
      </c>
      <c r="AK124" t="s">
        <v>9</v>
      </c>
      <c r="AL124">
        <v>7</v>
      </c>
      <c r="AM124" t="s">
        <v>9</v>
      </c>
      <c r="AN124" t="s">
        <v>10</v>
      </c>
      <c r="AO124" t="s">
        <v>215</v>
      </c>
    </row>
    <row r="125" spans="1:41" x14ac:dyDescent="0.25">
      <c r="A125">
        <f>IF(C125&lt;&gt;"", COUNTA($C$2:C125), "")</f>
        <v>124</v>
      </c>
      <c r="B125">
        <v>1</v>
      </c>
      <c r="C125" t="s">
        <v>267</v>
      </c>
      <c r="D125" t="s">
        <v>268</v>
      </c>
      <c r="E125" t="s">
        <v>269</v>
      </c>
      <c r="F125" t="s">
        <v>24</v>
      </c>
      <c r="G125">
        <v>28</v>
      </c>
      <c r="H125" t="s">
        <v>0</v>
      </c>
      <c r="I125" t="s">
        <v>1</v>
      </c>
      <c r="J125" t="s">
        <v>0</v>
      </c>
      <c r="K125" t="s">
        <v>1</v>
      </c>
      <c r="L125" t="s">
        <v>1</v>
      </c>
      <c r="M125" t="s">
        <v>0</v>
      </c>
      <c r="N125" t="s">
        <v>0</v>
      </c>
      <c r="O125" t="s">
        <v>1</v>
      </c>
      <c r="P125" t="s">
        <v>0</v>
      </c>
      <c r="Q125" t="s">
        <v>2</v>
      </c>
      <c r="R125" t="s">
        <v>1</v>
      </c>
      <c r="S125" t="s">
        <v>2</v>
      </c>
      <c r="T125" t="s">
        <v>2</v>
      </c>
      <c r="U125" t="s">
        <v>2</v>
      </c>
      <c r="V125" t="s">
        <v>0</v>
      </c>
      <c r="W125" t="s">
        <v>0</v>
      </c>
      <c r="X125" t="s">
        <v>2</v>
      </c>
      <c r="Y125" t="s">
        <v>0</v>
      </c>
      <c r="Z125" t="s">
        <v>2</v>
      </c>
      <c r="AA125" t="s">
        <v>0</v>
      </c>
      <c r="AB125" t="s">
        <v>0</v>
      </c>
      <c r="AC125" t="s">
        <v>0</v>
      </c>
      <c r="AD125" t="s">
        <v>2</v>
      </c>
      <c r="AE125" t="s">
        <v>0</v>
      </c>
      <c r="AG125">
        <v>4.2</v>
      </c>
      <c r="AH125">
        <v>4</v>
      </c>
      <c r="AI125" t="s">
        <v>28</v>
      </c>
      <c r="AJ125">
        <v>8</v>
      </c>
      <c r="AK125" t="s">
        <v>9</v>
      </c>
      <c r="AL125">
        <v>8</v>
      </c>
      <c r="AM125" t="s">
        <v>9</v>
      </c>
      <c r="AN125" t="s">
        <v>10</v>
      </c>
      <c r="AO125" t="s">
        <v>270</v>
      </c>
    </row>
    <row r="126" spans="1:41" x14ac:dyDescent="0.25">
      <c r="A126">
        <f>IF(C126&lt;&gt;"", COUNTA($C$2:C126), "")</f>
        <v>125</v>
      </c>
      <c r="B126">
        <v>2</v>
      </c>
      <c r="C126" t="s">
        <v>271</v>
      </c>
      <c r="D126" t="s">
        <v>89</v>
      </c>
      <c r="E126" t="s">
        <v>269</v>
      </c>
      <c r="F126" t="s">
        <v>24</v>
      </c>
      <c r="G126">
        <v>28</v>
      </c>
      <c r="H126" t="s">
        <v>0</v>
      </c>
      <c r="I126" t="s">
        <v>0</v>
      </c>
      <c r="J126" t="s">
        <v>0</v>
      </c>
      <c r="K126" t="s">
        <v>1</v>
      </c>
      <c r="L126" t="s">
        <v>1</v>
      </c>
      <c r="M126" t="s">
        <v>0</v>
      </c>
      <c r="N126" t="s">
        <v>0</v>
      </c>
      <c r="O126" t="s">
        <v>1</v>
      </c>
      <c r="P126" t="s">
        <v>0</v>
      </c>
      <c r="Q126" t="s">
        <v>2</v>
      </c>
      <c r="R126" t="s">
        <v>1</v>
      </c>
      <c r="S126" t="s">
        <v>2</v>
      </c>
      <c r="T126" t="s">
        <v>2</v>
      </c>
      <c r="U126" t="s">
        <v>2</v>
      </c>
      <c r="V126" t="s">
        <v>0</v>
      </c>
      <c r="W126" t="s">
        <v>0</v>
      </c>
      <c r="X126" t="s">
        <v>2</v>
      </c>
      <c r="Y126" t="s">
        <v>0</v>
      </c>
      <c r="Z126" t="s">
        <v>2</v>
      </c>
      <c r="AA126" t="s">
        <v>0</v>
      </c>
      <c r="AB126" t="s">
        <v>0</v>
      </c>
      <c r="AC126" t="s">
        <v>0</v>
      </c>
      <c r="AD126" t="s">
        <v>2</v>
      </c>
      <c r="AE126" t="s">
        <v>0</v>
      </c>
      <c r="AG126">
        <v>4.4000000000000004</v>
      </c>
      <c r="AH126">
        <v>5</v>
      </c>
      <c r="AI126" t="s">
        <v>10</v>
      </c>
      <c r="AJ126">
        <v>8</v>
      </c>
      <c r="AK126" t="s">
        <v>9</v>
      </c>
      <c r="AL126">
        <v>8</v>
      </c>
      <c r="AM126" t="s">
        <v>9</v>
      </c>
      <c r="AN126" t="s">
        <v>9</v>
      </c>
      <c r="AO126" t="s">
        <v>270</v>
      </c>
    </row>
    <row r="127" spans="1:41" x14ac:dyDescent="0.25">
      <c r="A127">
        <f>IF(C127&lt;&gt;"", COUNTA($C$2:C127), "")</f>
        <v>126</v>
      </c>
      <c r="B127">
        <v>3</v>
      </c>
      <c r="C127" t="s">
        <v>272</v>
      </c>
      <c r="D127" t="s">
        <v>273</v>
      </c>
      <c r="E127" t="s">
        <v>269</v>
      </c>
      <c r="F127" t="s">
        <v>106</v>
      </c>
      <c r="G127">
        <v>27</v>
      </c>
      <c r="H127" t="s">
        <v>0</v>
      </c>
      <c r="I127" t="s">
        <v>0</v>
      </c>
      <c r="J127" t="s">
        <v>0</v>
      </c>
      <c r="K127" t="s">
        <v>1</v>
      </c>
      <c r="L127" t="s">
        <v>2</v>
      </c>
      <c r="M127" t="s">
        <v>0</v>
      </c>
      <c r="N127" t="s">
        <v>1</v>
      </c>
      <c r="O127" t="s">
        <v>0</v>
      </c>
      <c r="P127" t="s">
        <v>0</v>
      </c>
      <c r="Q127" t="s">
        <v>2</v>
      </c>
      <c r="R127" t="s">
        <v>1</v>
      </c>
      <c r="S127" t="s">
        <v>2</v>
      </c>
      <c r="T127" t="s">
        <v>2</v>
      </c>
      <c r="U127" t="s">
        <v>2</v>
      </c>
      <c r="V127" t="s">
        <v>0</v>
      </c>
      <c r="W127" t="s">
        <v>0</v>
      </c>
      <c r="X127" t="s">
        <v>2</v>
      </c>
      <c r="Y127" t="s">
        <v>0</v>
      </c>
      <c r="Z127" t="s">
        <v>2</v>
      </c>
      <c r="AA127" t="s">
        <v>0</v>
      </c>
      <c r="AB127" t="s">
        <v>0</v>
      </c>
      <c r="AC127" t="s">
        <v>0</v>
      </c>
      <c r="AD127" t="s">
        <v>2</v>
      </c>
      <c r="AE127" t="s">
        <v>0</v>
      </c>
      <c r="AG127">
        <v>5</v>
      </c>
      <c r="AH127">
        <v>8</v>
      </c>
      <c r="AI127" t="s">
        <v>9</v>
      </c>
      <c r="AJ127">
        <v>8</v>
      </c>
      <c r="AK127" t="s">
        <v>9</v>
      </c>
      <c r="AL127">
        <v>8</v>
      </c>
      <c r="AM127" t="s">
        <v>9</v>
      </c>
      <c r="AN127" t="s">
        <v>9</v>
      </c>
      <c r="AO127" t="s">
        <v>270</v>
      </c>
    </row>
    <row r="128" spans="1:41" x14ac:dyDescent="0.25">
      <c r="A128">
        <f>IF(C128&lt;&gt;"", COUNTA($C$2:C128), "")</f>
        <v>127</v>
      </c>
      <c r="B128">
        <v>4</v>
      </c>
      <c r="C128" t="s">
        <v>274</v>
      </c>
      <c r="D128" t="s">
        <v>275</v>
      </c>
      <c r="E128" t="s">
        <v>269</v>
      </c>
      <c r="F128" t="s">
        <v>111</v>
      </c>
      <c r="G128">
        <v>26</v>
      </c>
      <c r="H128" t="s">
        <v>0</v>
      </c>
      <c r="I128" t="s">
        <v>0</v>
      </c>
      <c r="J128" t="s">
        <v>0</v>
      </c>
      <c r="K128" t="s">
        <v>2</v>
      </c>
      <c r="L128" t="s">
        <v>1</v>
      </c>
      <c r="M128" t="s">
        <v>0</v>
      </c>
      <c r="N128" t="s">
        <v>2</v>
      </c>
      <c r="O128" t="s">
        <v>0</v>
      </c>
      <c r="P128" t="s">
        <v>0</v>
      </c>
      <c r="Q128" t="s">
        <v>2</v>
      </c>
      <c r="R128" t="s">
        <v>1</v>
      </c>
      <c r="S128" t="s">
        <v>2</v>
      </c>
      <c r="T128" t="s">
        <v>2</v>
      </c>
      <c r="U128" t="s">
        <v>2</v>
      </c>
      <c r="V128" t="s">
        <v>0</v>
      </c>
      <c r="W128" t="s">
        <v>0</v>
      </c>
      <c r="X128" t="s">
        <v>2</v>
      </c>
      <c r="Y128" t="s">
        <v>0</v>
      </c>
      <c r="Z128" t="s">
        <v>2</v>
      </c>
      <c r="AA128" t="s">
        <v>0</v>
      </c>
      <c r="AB128" t="s">
        <v>0</v>
      </c>
      <c r="AC128" t="s">
        <v>0</v>
      </c>
      <c r="AD128" t="s">
        <v>2</v>
      </c>
      <c r="AE128" t="s">
        <v>0</v>
      </c>
      <c r="AG128">
        <v>4.4000000000000004</v>
      </c>
      <c r="AH128">
        <v>5</v>
      </c>
      <c r="AI128" t="s">
        <v>10</v>
      </c>
      <c r="AJ128">
        <v>8</v>
      </c>
      <c r="AK128" t="s">
        <v>9</v>
      </c>
      <c r="AL128">
        <v>8</v>
      </c>
      <c r="AM128" t="s">
        <v>9</v>
      </c>
      <c r="AN128" t="s">
        <v>9</v>
      </c>
      <c r="AO128" t="s">
        <v>270</v>
      </c>
    </row>
    <row r="129" spans="1:41" x14ac:dyDescent="0.25">
      <c r="A129">
        <f>IF(C129&lt;&gt;"", COUNTA($C$2:C129), "")</f>
        <v>128</v>
      </c>
      <c r="B129">
        <v>5</v>
      </c>
      <c r="C129" t="s">
        <v>276</v>
      </c>
      <c r="D129" t="s">
        <v>277</v>
      </c>
      <c r="E129" t="s">
        <v>132</v>
      </c>
      <c r="F129" t="s">
        <v>132</v>
      </c>
      <c r="G129">
        <v>0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  <c r="Q129" t="s">
        <v>17</v>
      </c>
      <c r="R129" t="s">
        <v>17</v>
      </c>
      <c r="S129" t="s">
        <v>17</v>
      </c>
      <c r="T129" t="s">
        <v>17</v>
      </c>
      <c r="U129" t="s">
        <v>17</v>
      </c>
      <c r="V129" t="s">
        <v>17</v>
      </c>
      <c r="W129" t="s">
        <v>17</v>
      </c>
      <c r="X129" t="s">
        <v>17</v>
      </c>
      <c r="Y129" t="s">
        <v>17</v>
      </c>
      <c r="Z129" t="s">
        <v>17</v>
      </c>
      <c r="AA129" t="s">
        <v>17</v>
      </c>
      <c r="AB129" t="s">
        <v>17</v>
      </c>
      <c r="AC129" t="s">
        <v>17</v>
      </c>
      <c r="AD129" t="s">
        <v>17</v>
      </c>
      <c r="AE129" t="s">
        <v>17</v>
      </c>
      <c r="AG129">
        <v>0</v>
      </c>
      <c r="AH129">
        <v>0</v>
      </c>
      <c r="AI129" t="s">
        <v>18</v>
      </c>
      <c r="AJ129">
        <v>0</v>
      </c>
      <c r="AK129" t="s">
        <v>18</v>
      </c>
      <c r="AL129">
        <v>0</v>
      </c>
      <c r="AM129" t="s">
        <v>18</v>
      </c>
      <c r="AN129" t="s">
        <v>18</v>
      </c>
      <c r="AO129" t="s">
        <v>316</v>
      </c>
    </row>
    <row r="130" spans="1:41" x14ac:dyDescent="0.25">
      <c r="A130">
        <f>IF(C130&lt;&gt;"", COUNTA($C$2:C130), "")</f>
        <v>129</v>
      </c>
      <c r="B130">
        <v>6</v>
      </c>
      <c r="C130" t="s">
        <v>278</v>
      </c>
      <c r="D130" t="s">
        <v>23</v>
      </c>
      <c r="E130" t="s">
        <v>269</v>
      </c>
      <c r="F130" t="s">
        <v>82</v>
      </c>
      <c r="G130">
        <v>32</v>
      </c>
      <c r="H130" t="s">
        <v>0</v>
      </c>
      <c r="I130" t="s">
        <v>0</v>
      </c>
      <c r="J130" t="s">
        <v>0</v>
      </c>
      <c r="K130" t="s">
        <v>1</v>
      </c>
      <c r="L130" t="s">
        <v>1</v>
      </c>
      <c r="M130" t="s">
        <v>0</v>
      </c>
      <c r="N130" t="s">
        <v>2</v>
      </c>
      <c r="O130" t="s">
        <v>0</v>
      </c>
      <c r="P130" t="s">
        <v>0</v>
      </c>
      <c r="Q130" t="s">
        <v>2</v>
      </c>
      <c r="R130" t="s">
        <v>1</v>
      </c>
      <c r="S130" t="s">
        <v>2</v>
      </c>
      <c r="T130" t="s">
        <v>2</v>
      </c>
      <c r="U130" t="s">
        <v>2</v>
      </c>
      <c r="V130" t="s">
        <v>0</v>
      </c>
      <c r="W130" t="s">
        <v>0</v>
      </c>
      <c r="X130" t="s">
        <v>2</v>
      </c>
      <c r="Y130" t="s">
        <v>0</v>
      </c>
      <c r="Z130" t="s">
        <v>2</v>
      </c>
      <c r="AA130" t="s">
        <v>0</v>
      </c>
      <c r="AB130" t="s">
        <v>0</v>
      </c>
      <c r="AC130" t="s">
        <v>0</v>
      </c>
      <c r="AD130" t="s">
        <v>2</v>
      </c>
      <c r="AE130" t="s">
        <v>0</v>
      </c>
      <c r="AG130">
        <v>4.5999999999999996</v>
      </c>
      <c r="AH130">
        <v>6</v>
      </c>
      <c r="AI130" t="s">
        <v>10</v>
      </c>
      <c r="AJ130">
        <v>8</v>
      </c>
      <c r="AK130" t="s">
        <v>9</v>
      </c>
      <c r="AL130">
        <v>8</v>
      </c>
      <c r="AM130" t="s">
        <v>9</v>
      </c>
      <c r="AN130" t="s">
        <v>9</v>
      </c>
      <c r="AO130" t="s">
        <v>270</v>
      </c>
    </row>
    <row r="131" spans="1:41" x14ac:dyDescent="0.25">
      <c r="A131">
        <f>IF(C131&lt;&gt;"", COUNTA($C$2:C131), "")</f>
        <v>130</v>
      </c>
      <c r="B131">
        <v>7</v>
      </c>
      <c r="C131" t="s">
        <v>279</v>
      </c>
      <c r="D131" t="s">
        <v>35</v>
      </c>
      <c r="E131" t="s">
        <v>269</v>
      </c>
      <c r="F131" t="s">
        <v>21</v>
      </c>
      <c r="G131">
        <v>34</v>
      </c>
      <c r="H131" t="s">
        <v>0</v>
      </c>
      <c r="I131" t="s">
        <v>0</v>
      </c>
      <c r="J131" t="s">
        <v>2</v>
      </c>
      <c r="K131" t="s">
        <v>1</v>
      </c>
      <c r="L131" t="s">
        <v>1</v>
      </c>
      <c r="M131" t="s">
        <v>0</v>
      </c>
      <c r="N131" t="s">
        <v>2</v>
      </c>
      <c r="O131" t="s">
        <v>0</v>
      </c>
      <c r="P131" t="s">
        <v>0</v>
      </c>
      <c r="Q131" t="s">
        <v>2</v>
      </c>
      <c r="R131" t="s">
        <v>1</v>
      </c>
      <c r="S131" t="s">
        <v>2</v>
      </c>
      <c r="T131" t="s">
        <v>2</v>
      </c>
      <c r="U131" t="s">
        <v>8</v>
      </c>
      <c r="V131" t="s">
        <v>0</v>
      </c>
      <c r="W131" t="s">
        <v>0</v>
      </c>
      <c r="X131" t="s">
        <v>2</v>
      </c>
      <c r="Y131" t="s">
        <v>0</v>
      </c>
      <c r="Z131" t="s">
        <v>2</v>
      </c>
      <c r="AA131" t="s">
        <v>0</v>
      </c>
      <c r="AB131" t="s">
        <v>0</v>
      </c>
      <c r="AC131" t="s">
        <v>0</v>
      </c>
      <c r="AD131" t="s">
        <v>2</v>
      </c>
      <c r="AE131" t="s">
        <v>0</v>
      </c>
      <c r="AG131">
        <v>4.2</v>
      </c>
      <c r="AH131">
        <v>5</v>
      </c>
      <c r="AI131" t="s">
        <v>10</v>
      </c>
      <c r="AJ131">
        <v>7</v>
      </c>
      <c r="AK131" t="s">
        <v>9</v>
      </c>
      <c r="AL131">
        <v>8</v>
      </c>
      <c r="AM131" t="s">
        <v>9</v>
      </c>
      <c r="AN131" t="s">
        <v>10</v>
      </c>
      <c r="AO131" t="s">
        <v>270</v>
      </c>
    </row>
    <row r="132" spans="1:41" x14ac:dyDescent="0.25">
      <c r="A132">
        <f>IF(C132&lt;&gt;"", COUNTA($C$2:C132), "")</f>
        <v>131</v>
      </c>
      <c r="B132">
        <v>8</v>
      </c>
      <c r="C132" t="s">
        <v>280</v>
      </c>
      <c r="D132" t="s">
        <v>281</v>
      </c>
      <c r="E132" t="s">
        <v>269</v>
      </c>
      <c r="F132" t="s">
        <v>54</v>
      </c>
      <c r="G132">
        <v>29</v>
      </c>
      <c r="H132" t="s">
        <v>0</v>
      </c>
      <c r="I132" t="s">
        <v>0</v>
      </c>
      <c r="J132" t="s">
        <v>0</v>
      </c>
      <c r="K132" t="s">
        <v>1</v>
      </c>
      <c r="L132" t="s">
        <v>2</v>
      </c>
      <c r="M132" t="s">
        <v>0</v>
      </c>
      <c r="N132" t="s">
        <v>1</v>
      </c>
      <c r="O132" t="s">
        <v>0</v>
      </c>
      <c r="P132" t="s">
        <v>0</v>
      </c>
      <c r="Q132" t="s">
        <v>2</v>
      </c>
      <c r="R132" t="s">
        <v>1</v>
      </c>
      <c r="S132" t="s">
        <v>2</v>
      </c>
      <c r="T132" t="s">
        <v>2</v>
      </c>
      <c r="U132" t="s">
        <v>2</v>
      </c>
      <c r="V132" t="s">
        <v>0</v>
      </c>
      <c r="W132" t="s">
        <v>0</v>
      </c>
      <c r="X132" t="s">
        <v>2</v>
      </c>
      <c r="Y132" t="s">
        <v>0</v>
      </c>
      <c r="Z132" t="s">
        <v>2</v>
      </c>
      <c r="AA132" t="s">
        <v>0</v>
      </c>
      <c r="AB132" t="s">
        <v>0</v>
      </c>
      <c r="AC132" t="s">
        <v>0</v>
      </c>
      <c r="AD132" t="s">
        <v>2</v>
      </c>
      <c r="AE132" t="s">
        <v>0</v>
      </c>
      <c r="AG132">
        <v>5</v>
      </c>
      <c r="AH132">
        <v>8</v>
      </c>
      <c r="AI132" t="s">
        <v>9</v>
      </c>
      <c r="AJ132">
        <v>8</v>
      </c>
      <c r="AK132" t="s">
        <v>9</v>
      </c>
      <c r="AL132">
        <v>8</v>
      </c>
      <c r="AM132" t="s">
        <v>9</v>
      </c>
      <c r="AN132" t="s">
        <v>9</v>
      </c>
      <c r="AO132" t="s">
        <v>270</v>
      </c>
    </row>
    <row r="133" spans="1:41" x14ac:dyDescent="0.25">
      <c r="A133">
        <f>IF(C133&lt;&gt;"", COUNTA($C$2:C133), "")</f>
        <v>132</v>
      </c>
      <c r="B133">
        <v>9</v>
      </c>
      <c r="C133" t="s">
        <v>282</v>
      </c>
      <c r="D133" t="s">
        <v>283</v>
      </c>
      <c r="E133" t="s">
        <v>269</v>
      </c>
      <c r="F133" t="s">
        <v>14</v>
      </c>
      <c r="G133">
        <v>30</v>
      </c>
      <c r="H133" t="s">
        <v>0</v>
      </c>
      <c r="I133" t="s">
        <v>0</v>
      </c>
      <c r="J133" t="s">
        <v>0</v>
      </c>
      <c r="K133" t="s">
        <v>1</v>
      </c>
      <c r="L133" t="s">
        <v>1</v>
      </c>
      <c r="M133" t="s">
        <v>0</v>
      </c>
      <c r="N133" t="s">
        <v>2</v>
      </c>
      <c r="O133" t="s">
        <v>0</v>
      </c>
      <c r="P133" t="s">
        <v>0</v>
      </c>
      <c r="Q133" t="s">
        <v>2</v>
      </c>
      <c r="R133" t="s">
        <v>1</v>
      </c>
      <c r="S133" t="s">
        <v>2</v>
      </c>
      <c r="T133" t="s">
        <v>2</v>
      </c>
      <c r="U133" t="s">
        <v>2</v>
      </c>
      <c r="V133" t="s">
        <v>0</v>
      </c>
      <c r="W133" t="s">
        <v>0</v>
      </c>
      <c r="X133" t="s">
        <v>2</v>
      </c>
      <c r="Y133" t="s">
        <v>0</v>
      </c>
      <c r="Z133" t="s">
        <v>2</v>
      </c>
      <c r="AA133" t="s">
        <v>0</v>
      </c>
      <c r="AB133" t="s">
        <v>0</v>
      </c>
      <c r="AC133" t="s">
        <v>0</v>
      </c>
      <c r="AD133" t="s">
        <v>2</v>
      </c>
      <c r="AE133" t="s">
        <v>0</v>
      </c>
      <c r="AG133">
        <v>4.5999999999999996</v>
      </c>
      <c r="AH133">
        <v>6</v>
      </c>
      <c r="AI133" t="s">
        <v>10</v>
      </c>
      <c r="AJ133">
        <v>8</v>
      </c>
      <c r="AK133" t="s">
        <v>9</v>
      </c>
      <c r="AL133">
        <v>8</v>
      </c>
      <c r="AM133" t="s">
        <v>9</v>
      </c>
      <c r="AN133" t="s">
        <v>9</v>
      </c>
      <c r="AO133" t="s">
        <v>270</v>
      </c>
    </row>
    <row r="134" spans="1:41" x14ac:dyDescent="0.25">
      <c r="A134">
        <f>IF(C134&lt;&gt;"", COUNTA($C$2:C134), "")</f>
        <v>133</v>
      </c>
      <c r="B134">
        <v>10</v>
      </c>
      <c r="C134" t="s">
        <v>284</v>
      </c>
      <c r="D134" t="s">
        <v>59</v>
      </c>
      <c r="E134" t="s">
        <v>269</v>
      </c>
      <c r="F134" t="s">
        <v>54</v>
      </c>
      <c r="G134">
        <v>29</v>
      </c>
      <c r="H134" t="s">
        <v>0</v>
      </c>
      <c r="I134" t="s">
        <v>0</v>
      </c>
      <c r="J134" t="s">
        <v>0</v>
      </c>
      <c r="K134" t="s">
        <v>1</v>
      </c>
      <c r="L134" t="s">
        <v>1</v>
      </c>
      <c r="M134" t="s">
        <v>0</v>
      </c>
      <c r="N134" t="s">
        <v>2</v>
      </c>
      <c r="O134" t="s">
        <v>0</v>
      </c>
      <c r="P134" t="s">
        <v>0</v>
      </c>
      <c r="Q134" t="s">
        <v>2</v>
      </c>
      <c r="R134" t="s">
        <v>1</v>
      </c>
      <c r="S134" t="s">
        <v>2</v>
      </c>
      <c r="T134" t="s">
        <v>2</v>
      </c>
      <c r="U134" t="s">
        <v>2</v>
      </c>
      <c r="V134" t="s">
        <v>0</v>
      </c>
      <c r="W134" t="s">
        <v>0</v>
      </c>
      <c r="X134" t="s">
        <v>2</v>
      </c>
      <c r="Y134" t="s">
        <v>0</v>
      </c>
      <c r="Z134" t="s">
        <v>2</v>
      </c>
      <c r="AA134" t="s">
        <v>0</v>
      </c>
      <c r="AB134" t="s">
        <v>0</v>
      </c>
      <c r="AC134" t="s">
        <v>0</v>
      </c>
      <c r="AD134" t="s">
        <v>2</v>
      </c>
      <c r="AE134" t="s">
        <v>0</v>
      </c>
      <c r="AG134">
        <v>4.5999999999999996</v>
      </c>
      <c r="AH134">
        <v>6</v>
      </c>
      <c r="AI134" t="s">
        <v>10</v>
      </c>
      <c r="AJ134">
        <v>8</v>
      </c>
      <c r="AK134" t="s">
        <v>9</v>
      </c>
      <c r="AL134">
        <v>8</v>
      </c>
      <c r="AM134" t="s">
        <v>9</v>
      </c>
      <c r="AN134" t="s">
        <v>9</v>
      </c>
      <c r="AO134" t="s">
        <v>270</v>
      </c>
    </row>
    <row r="135" spans="1:41" x14ac:dyDescent="0.25">
      <c r="A135">
        <f>IF(C135&lt;&gt;"", COUNTA($C$2:C135), "")</f>
        <v>134</v>
      </c>
      <c r="B135">
        <v>11</v>
      </c>
      <c r="C135" t="s">
        <v>285</v>
      </c>
      <c r="D135" t="s">
        <v>46</v>
      </c>
      <c r="E135" t="s">
        <v>269</v>
      </c>
      <c r="F135" t="s">
        <v>111</v>
      </c>
      <c r="G135">
        <v>26</v>
      </c>
      <c r="H135" t="s">
        <v>0</v>
      </c>
      <c r="I135" t="s">
        <v>0</v>
      </c>
      <c r="J135" t="s">
        <v>0</v>
      </c>
      <c r="K135" t="s">
        <v>1</v>
      </c>
      <c r="L135" t="s">
        <v>2</v>
      </c>
      <c r="M135" t="s">
        <v>0</v>
      </c>
      <c r="N135" t="s">
        <v>1</v>
      </c>
      <c r="O135" t="s">
        <v>0</v>
      </c>
      <c r="P135" t="s">
        <v>0</v>
      </c>
      <c r="Q135" t="s">
        <v>2</v>
      </c>
      <c r="R135" t="s">
        <v>1</v>
      </c>
      <c r="S135" t="s">
        <v>2</v>
      </c>
      <c r="T135" t="s">
        <v>2</v>
      </c>
      <c r="U135" t="s">
        <v>2</v>
      </c>
      <c r="V135" t="s">
        <v>0</v>
      </c>
      <c r="W135" t="s">
        <v>0</v>
      </c>
      <c r="X135" t="s">
        <v>2</v>
      </c>
      <c r="Y135" t="s">
        <v>0</v>
      </c>
      <c r="Z135" t="s">
        <v>2</v>
      </c>
      <c r="AA135" t="s">
        <v>0</v>
      </c>
      <c r="AB135" t="s">
        <v>0</v>
      </c>
      <c r="AC135" t="s">
        <v>0</v>
      </c>
      <c r="AD135" t="s">
        <v>2</v>
      </c>
      <c r="AE135" t="s">
        <v>0</v>
      </c>
      <c r="AG135">
        <v>5</v>
      </c>
      <c r="AH135">
        <v>8</v>
      </c>
      <c r="AI135" t="s">
        <v>9</v>
      </c>
      <c r="AJ135">
        <v>8</v>
      </c>
      <c r="AK135" t="s">
        <v>9</v>
      </c>
      <c r="AL135">
        <v>8</v>
      </c>
      <c r="AM135" t="s">
        <v>9</v>
      </c>
      <c r="AN135" t="s">
        <v>9</v>
      </c>
      <c r="AO135" t="s">
        <v>270</v>
      </c>
    </row>
    <row r="136" spans="1:41" x14ac:dyDescent="0.25">
      <c r="A136">
        <f>IF(C136&lt;&gt;"", COUNTA($C$2:C136), "")</f>
        <v>135</v>
      </c>
      <c r="B136">
        <v>12</v>
      </c>
      <c r="C136" t="s">
        <v>286</v>
      </c>
      <c r="D136" t="s">
        <v>287</v>
      </c>
      <c r="E136" t="s">
        <v>269</v>
      </c>
      <c r="F136" t="s">
        <v>111</v>
      </c>
      <c r="G136">
        <v>26</v>
      </c>
      <c r="H136" t="s">
        <v>0</v>
      </c>
      <c r="I136" t="s">
        <v>0</v>
      </c>
      <c r="J136" t="s">
        <v>0</v>
      </c>
      <c r="K136" t="s">
        <v>1</v>
      </c>
      <c r="L136" t="s">
        <v>1</v>
      </c>
      <c r="M136" t="s">
        <v>0</v>
      </c>
      <c r="N136" t="s">
        <v>2</v>
      </c>
      <c r="O136" t="s">
        <v>0</v>
      </c>
      <c r="P136" t="s">
        <v>0</v>
      </c>
      <c r="Q136" t="s">
        <v>2</v>
      </c>
      <c r="R136" t="s">
        <v>1</v>
      </c>
      <c r="S136" t="s">
        <v>2</v>
      </c>
      <c r="T136" t="s">
        <v>2</v>
      </c>
      <c r="U136" t="s">
        <v>2</v>
      </c>
      <c r="V136" t="s">
        <v>0</v>
      </c>
      <c r="W136" t="s">
        <v>0</v>
      </c>
      <c r="X136" t="s">
        <v>2</v>
      </c>
      <c r="Y136" t="s">
        <v>0</v>
      </c>
      <c r="Z136" t="s">
        <v>2</v>
      </c>
      <c r="AA136" t="s">
        <v>0</v>
      </c>
      <c r="AB136" t="s">
        <v>0</v>
      </c>
      <c r="AC136" t="s">
        <v>0</v>
      </c>
      <c r="AD136" t="s">
        <v>2</v>
      </c>
      <c r="AE136" t="s">
        <v>0</v>
      </c>
      <c r="AG136">
        <v>4.5999999999999996</v>
      </c>
      <c r="AH136">
        <v>6</v>
      </c>
      <c r="AI136" t="s">
        <v>10</v>
      </c>
      <c r="AJ136">
        <v>8</v>
      </c>
      <c r="AK136" t="s">
        <v>9</v>
      </c>
      <c r="AL136">
        <v>8</v>
      </c>
      <c r="AM136" t="s">
        <v>9</v>
      </c>
      <c r="AN136" t="s">
        <v>9</v>
      </c>
      <c r="AO136" t="s">
        <v>270</v>
      </c>
    </row>
    <row r="137" spans="1:41" x14ac:dyDescent="0.25">
      <c r="A137">
        <f>IF(C137&lt;&gt;"", COUNTA($C$2:C137), "")</f>
        <v>136</v>
      </c>
      <c r="B137">
        <v>13</v>
      </c>
      <c r="C137" t="s">
        <v>177</v>
      </c>
      <c r="D137" t="s">
        <v>288</v>
      </c>
      <c r="E137" t="s">
        <v>269</v>
      </c>
      <c r="F137" t="s">
        <v>82</v>
      </c>
      <c r="G137">
        <v>32</v>
      </c>
      <c r="H137" t="s">
        <v>0</v>
      </c>
      <c r="I137" t="s">
        <v>0</v>
      </c>
      <c r="J137" t="s">
        <v>2</v>
      </c>
      <c r="K137" t="s">
        <v>1</v>
      </c>
      <c r="L137" t="s">
        <v>1</v>
      </c>
      <c r="M137" t="s">
        <v>0</v>
      </c>
      <c r="N137" t="s">
        <v>2</v>
      </c>
      <c r="O137" t="s">
        <v>1</v>
      </c>
      <c r="P137" t="s">
        <v>0</v>
      </c>
      <c r="Q137" t="s">
        <v>2</v>
      </c>
      <c r="R137" t="s">
        <v>1</v>
      </c>
      <c r="S137" t="s">
        <v>8</v>
      </c>
      <c r="T137" t="s">
        <v>2</v>
      </c>
      <c r="U137" t="s">
        <v>8</v>
      </c>
      <c r="V137" t="s">
        <v>0</v>
      </c>
      <c r="W137" t="s">
        <v>0</v>
      </c>
      <c r="X137" t="s">
        <v>2</v>
      </c>
      <c r="Y137" t="s">
        <v>0</v>
      </c>
      <c r="Z137" t="s">
        <v>2</v>
      </c>
      <c r="AA137" t="s">
        <v>0</v>
      </c>
      <c r="AB137" t="s">
        <v>0</v>
      </c>
      <c r="AC137" t="s">
        <v>0</v>
      </c>
      <c r="AD137" t="s">
        <v>2</v>
      </c>
      <c r="AE137" t="s">
        <v>0</v>
      </c>
      <c r="AG137">
        <v>3.8</v>
      </c>
      <c r="AH137">
        <v>4</v>
      </c>
      <c r="AI137" t="s">
        <v>28</v>
      </c>
      <c r="AJ137">
        <v>6</v>
      </c>
      <c r="AK137" t="s">
        <v>10</v>
      </c>
      <c r="AL137">
        <v>8</v>
      </c>
      <c r="AM137" t="s">
        <v>9</v>
      </c>
      <c r="AN137" t="s">
        <v>10</v>
      </c>
      <c r="AO137" t="s">
        <v>270</v>
      </c>
    </row>
    <row r="138" spans="1:41" x14ac:dyDescent="0.25">
      <c r="A138">
        <f>IF(C138&lt;&gt;"", COUNTA($C$2:C138), "")</f>
        <v>137</v>
      </c>
      <c r="B138">
        <v>14</v>
      </c>
      <c r="C138" t="s">
        <v>289</v>
      </c>
      <c r="D138" t="s">
        <v>290</v>
      </c>
      <c r="E138" t="s">
        <v>269</v>
      </c>
      <c r="F138" t="s">
        <v>82</v>
      </c>
      <c r="G138">
        <v>32</v>
      </c>
      <c r="H138" t="s">
        <v>0</v>
      </c>
      <c r="I138" t="s">
        <v>0</v>
      </c>
      <c r="J138" t="s">
        <v>0</v>
      </c>
      <c r="K138" t="s">
        <v>1</v>
      </c>
      <c r="L138" t="s">
        <v>1</v>
      </c>
      <c r="M138" t="s">
        <v>0</v>
      </c>
      <c r="N138" t="s">
        <v>2</v>
      </c>
      <c r="O138" t="s">
        <v>0</v>
      </c>
      <c r="P138" t="s">
        <v>0</v>
      </c>
      <c r="Q138" t="s">
        <v>2</v>
      </c>
      <c r="R138" t="s">
        <v>1</v>
      </c>
      <c r="S138" t="s">
        <v>2</v>
      </c>
      <c r="T138" t="s">
        <v>2</v>
      </c>
      <c r="U138" t="s">
        <v>2</v>
      </c>
      <c r="V138" t="s">
        <v>0</v>
      </c>
      <c r="W138" t="s">
        <v>0</v>
      </c>
      <c r="X138" t="s">
        <v>2</v>
      </c>
      <c r="Y138" t="s">
        <v>0</v>
      </c>
      <c r="Z138" t="s">
        <v>2</v>
      </c>
      <c r="AA138" t="s">
        <v>0</v>
      </c>
      <c r="AB138" t="s">
        <v>0</v>
      </c>
      <c r="AC138" t="s">
        <v>0</v>
      </c>
      <c r="AD138" t="s">
        <v>2</v>
      </c>
      <c r="AE138" t="s">
        <v>0</v>
      </c>
      <c r="AG138">
        <v>4.5999999999999996</v>
      </c>
      <c r="AH138">
        <v>6</v>
      </c>
      <c r="AI138" t="s">
        <v>10</v>
      </c>
      <c r="AJ138">
        <v>8</v>
      </c>
      <c r="AK138" t="s">
        <v>9</v>
      </c>
      <c r="AL138">
        <v>8</v>
      </c>
      <c r="AM138" t="s">
        <v>9</v>
      </c>
      <c r="AN138" t="s">
        <v>9</v>
      </c>
      <c r="AO138" t="s">
        <v>270</v>
      </c>
    </row>
    <row r="139" spans="1:41" x14ac:dyDescent="0.25">
      <c r="A139">
        <f>IF(C139&lt;&gt;"", COUNTA($C$2:C139), "")</f>
        <v>138</v>
      </c>
      <c r="B139">
        <v>15</v>
      </c>
      <c r="C139" t="s">
        <v>291</v>
      </c>
      <c r="D139" t="s">
        <v>147</v>
      </c>
      <c r="E139" t="s">
        <v>269</v>
      </c>
      <c r="F139" t="s">
        <v>49</v>
      </c>
      <c r="G139">
        <v>40</v>
      </c>
      <c r="H139" t="s">
        <v>0</v>
      </c>
      <c r="I139" t="s">
        <v>0</v>
      </c>
      <c r="J139" t="s">
        <v>0</v>
      </c>
      <c r="K139" t="s">
        <v>1</v>
      </c>
      <c r="L139" t="s">
        <v>1</v>
      </c>
      <c r="M139" t="s">
        <v>0</v>
      </c>
      <c r="N139" t="s">
        <v>2</v>
      </c>
      <c r="O139" t="s">
        <v>0</v>
      </c>
      <c r="P139" t="s">
        <v>0</v>
      </c>
      <c r="Q139" t="s">
        <v>2</v>
      </c>
      <c r="R139" t="s">
        <v>1</v>
      </c>
      <c r="S139" t="s">
        <v>2</v>
      </c>
      <c r="T139" t="s">
        <v>2</v>
      </c>
      <c r="U139" t="s">
        <v>2</v>
      </c>
      <c r="V139" t="s">
        <v>0</v>
      </c>
      <c r="W139" t="s">
        <v>0</v>
      </c>
      <c r="X139" t="s">
        <v>2</v>
      </c>
      <c r="Y139" t="s">
        <v>0</v>
      </c>
      <c r="Z139" t="s">
        <v>2</v>
      </c>
      <c r="AA139" t="s">
        <v>0</v>
      </c>
      <c r="AB139" t="s">
        <v>0</v>
      </c>
      <c r="AC139" t="s">
        <v>0</v>
      </c>
      <c r="AD139" t="s">
        <v>2</v>
      </c>
      <c r="AE139" t="s">
        <v>0</v>
      </c>
      <c r="AG139">
        <v>4.5999999999999996</v>
      </c>
      <c r="AH139">
        <v>6</v>
      </c>
      <c r="AI139" t="s">
        <v>10</v>
      </c>
      <c r="AJ139">
        <v>8</v>
      </c>
      <c r="AK139" t="s">
        <v>9</v>
      </c>
      <c r="AL139">
        <v>8</v>
      </c>
      <c r="AM139" t="s">
        <v>9</v>
      </c>
      <c r="AN139" t="s">
        <v>9</v>
      </c>
      <c r="AO139" t="s">
        <v>270</v>
      </c>
    </row>
    <row r="140" spans="1:41" x14ac:dyDescent="0.25">
      <c r="A140">
        <f>IF(C140&lt;&gt;"", COUNTA($C$2:C140), "")</f>
        <v>139</v>
      </c>
      <c r="B140">
        <v>16</v>
      </c>
      <c r="C140" t="s">
        <v>292</v>
      </c>
      <c r="D140" t="s">
        <v>266</v>
      </c>
      <c r="E140" t="s">
        <v>269</v>
      </c>
      <c r="F140" t="s">
        <v>24</v>
      </c>
      <c r="G140">
        <v>28</v>
      </c>
      <c r="H140" t="s">
        <v>2</v>
      </c>
      <c r="I140" t="s">
        <v>0</v>
      </c>
      <c r="J140" t="s">
        <v>0</v>
      </c>
      <c r="K140" t="s">
        <v>1</v>
      </c>
      <c r="L140" t="s">
        <v>1</v>
      </c>
      <c r="M140" t="s">
        <v>0</v>
      </c>
      <c r="N140" t="s">
        <v>2</v>
      </c>
      <c r="O140" t="s">
        <v>1</v>
      </c>
      <c r="P140" t="s">
        <v>0</v>
      </c>
      <c r="Q140" t="s">
        <v>2</v>
      </c>
      <c r="R140" t="s">
        <v>1</v>
      </c>
      <c r="S140" t="s">
        <v>2</v>
      </c>
      <c r="T140" t="s">
        <v>2</v>
      </c>
      <c r="U140" t="s">
        <v>2</v>
      </c>
      <c r="V140" t="s">
        <v>0</v>
      </c>
      <c r="W140" t="s">
        <v>0</v>
      </c>
      <c r="X140" t="s">
        <v>2</v>
      </c>
      <c r="Y140" t="s">
        <v>0</v>
      </c>
      <c r="Z140" t="s">
        <v>2</v>
      </c>
      <c r="AA140" t="s">
        <v>0</v>
      </c>
      <c r="AB140" t="s">
        <v>0</v>
      </c>
      <c r="AC140" t="s">
        <v>0</v>
      </c>
      <c r="AD140" t="s">
        <v>2</v>
      </c>
      <c r="AE140" t="s">
        <v>0</v>
      </c>
      <c r="AG140">
        <v>4.2</v>
      </c>
      <c r="AH140">
        <v>4</v>
      </c>
      <c r="AI140" t="s">
        <v>28</v>
      </c>
      <c r="AJ140">
        <v>8</v>
      </c>
      <c r="AK140" t="s">
        <v>9</v>
      </c>
      <c r="AL140">
        <v>8</v>
      </c>
      <c r="AM140" t="s">
        <v>9</v>
      </c>
      <c r="AN140" t="s">
        <v>10</v>
      </c>
      <c r="AO140" t="s">
        <v>270</v>
      </c>
    </row>
    <row r="141" spans="1:41" x14ac:dyDescent="0.25">
      <c r="A141">
        <f>IF(C141&lt;&gt;"", COUNTA($C$2:C141), "")</f>
        <v>140</v>
      </c>
      <c r="B141">
        <v>17</v>
      </c>
      <c r="C141" t="s">
        <v>293</v>
      </c>
      <c r="D141" t="s">
        <v>46</v>
      </c>
      <c r="E141" t="s">
        <v>269</v>
      </c>
      <c r="F141" t="s">
        <v>106</v>
      </c>
      <c r="G141">
        <v>27</v>
      </c>
      <c r="H141" t="s">
        <v>0</v>
      </c>
      <c r="I141" t="s">
        <v>0</v>
      </c>
      <c r="J141" t="s">
        <v>0</v>
      </c>
      <c r="K141" t="s">
        <v>1</v>
      </c>
      <c r="L141" t="s">
        <v>2</v>
      </c>
      <c r="M141" t="s">
        <v>0</v>
      </c>
      <c r="N141" t="s">
        <v>1</v>
      </c>
      <c r="O141" t="s">
        <v>0</v>
      </c>
      <c r="P141" t="s">
        <v>0</v>
      </c>
      <c r="Q141" t="s">
        <v>2</v>
      </c>
      <c r="R141" t="s">
        <v>1</v>
      </c>
      <c r="S141" t="s">
        <v>2</v>
      </c>
      <c r="T141" t="s">
        <v>2</v>
      </c>
      <c r="U141" t="s">
        <v>2</v>
      </c>
      <c r="V141" t="s">
        <v>0</v>
      </c>
      <c r="W141" t="s">
        <v>0</v>
      </c>
      <c r="X141" t="s">
        <v>2</v>
      </c>
      <c r="Y141" t="s">
        <v>0</v>
      </c>
      <c r="Z141" t="s">
        <v>2</v>
      </c>
      <c r="AA141" t="s">
        <v>0</v>
      </c>
      <c r="AB141" t="s">
        <v>0</v>
      </c>
      <c r="AC141" t="s">
        <v>0</v>
      </c>
      <c r="AD141" t="s">
        <v>2</v>
      </c>
      <c r="AE141" t="s">
        <v>0</v>
      </c>
      <c r="AG141">
        <v>5</v>
      </c>
      <c r="AH141">
        <v>8</v>
      </c>
      <c r="AI141" t="s">
        <v>9</v>
      </c>
      <c r="AJ141">
        <v>8</v>
      </c>
      <c r="AK141" t="s">
        <v>9</v>
      </c>
      <c r="AL141">
        <v>8</v>
      </c>
      <c r="AM141" t="s">
        <v>9</v>
      </c>
      <c r="AN141" t="s">
        <v>9</v>
      </c>
      <c r="AO141" t="s">
        <v>270</v>
      </c>
    </row>
    <row r="142" spans="1:41" x14ac:dyDescent="0.25">
      <c r="A142">
        <f>IF(C142&lt;&gt;"", COUNTA($C$2:C142), "")</f>
        <v>141</v>
      </c>
      <c r="B142">
        <v>18</v>
      </c>
      <c r="C142" t="s">
        <v>294</v>
      </c>
      <c r="D142" t="s">
        <v>210</v>
      </c>
      <c r="E142" t="s">
        <v>269</v>
      </c>
      <c r="F142" t="s">
        <v>27</v>
      </c>
      <c r="G142">
        <v>35</v>
      </c>
      <c r="H142" t="s">
        <v>0</v>
      </c>
      <c r="I142" t="s">
        <v>0</v>
      </c>
      <c r="J142" t="s">
        <v>0</v>
      </c>
      <c r="K142" t="s">
        <v>1</v>
      </c>
      <c r="L142" t="s">
        <v>2</v>
      </c>
      <c r="M142" t="s">
        <v>0</v>
      </c>
      <c r="N142" t="s">
        <v>2</v>
      </c>
      <c r="O142" t="s">
        <v>0</v>
      </c>
      <c r="P142" t="s">
        <v>0</v>
      </c>
      <c r="Q142" t="s">
        <v>0</v>
      </c>
      <c r="R142" t="s">
        <v>0</v>
      </c>
      <c r="S142" t="s">
        <v>2</v>
      </c>
      <c r="T142" t="s">
        <v>2</v>
      </c>
      <c r="U142" t="s">
        <v>2</v>
      </c>
      <c r="V142" t="s">
        <v>0</v>
      </c>
      <c r="W142" t="s">
        <v>0</v>
      </c>
      <c r="X142" t="s">
        <v>2</v>
      </c>
      <c r="Y142" t="s">
        <v>0</v>
      </c>
      <c r="Z142" t="s">
        <v>2</v>
      </c>
      <c r="AA142" t="s">
        <v>0</v>
      </c>
      <c r="AB142" t="s">
        <v>0</v>
      </c>
      <c r="AC142" t="s">
        <v>0</v>
      </c>
      <c r="AD142" t="s">
        <v>2</v>
      </c>
      <c r="AE142" t="s">
        <v>0</v>
      </c>
      <c r="AG142">
        <v>4.4000000000000004</v>
      </c>
      <c r="AH142">
        <v>7</v>
      </c>
      <c r="AI142" t="s">
        <v>9</v>
      </c>
      <c r="AJ142">
        <v>6</v>
      </c>
      <c r="AK142" t="s">
        <v>10</v>
      </c>
      <c r="AL142">
        <v>8</v>
      </c>
      <c r="AM142" t="s">
        <v>9</v>
      </c>
      <c r="AN142" t="s">
        <v>9</v>
      </c>
      <c r="AO142" t="s">
        <v>270</v>
      </c>
    </row>
    <row r="143" spans="1:41" x14ac:dyDescent="0.25">
      <c r="A143">
        <f>IF(C143&lt;&gt;"", COUNTA($C$2:C143), "")</f>
        <v>142</v>
      </c>
      <c r="B143">
        <v>19</v>
      </c>
      <c r="C143" t="s">
        <v>295</v>
      </c>
      <c r="D143" t="s">
        <v>59</v>
      </c>
      <c r="E143" t="s">
        <v>269</v>
      </c>
      <c r="F143" t="s">
        <v>148</v>
      </c>
      <c r="G143">
        <v>25</v>
      </c>
      <c r="H143" t="s">
        <v>0</v>
      </c>
      <c r="I143" t="s">
        <v>0</v>
      </c>
      <c r="J143" t="s">
        <v>0</v>
      </c>
      <c r="K143" t="s">
        <v>1</v>
      </c>
      <c r="L143" t="s">
        <v>2</v>
      </c>
      <c r="M143" t="s">
        <v>0</v>
      </c>
      <c r="N143" t="s">
        <v>1</v>
      </c>
      <c r="O143" t="s">
        <v>0</v>
      </c>
      <c r="P143" t="s">
        <v>0</v>
      </c>
      <c r="Q143" t="s">
        <v>2</v>
      </c>
      <c r="R143" t="s">
        <v>1</v>
      </c>
      <c r="S143" t="s">
        <v>2</v>
      </c>
      <c r="T143" t="s">
        <v>2</v>
      </c>
      <c r="U143" t="s">
        <v>2</v>
      </c>
      <c r="V143" t="s">
        <v>0</v>
      </c>
      <c r="W143" t="s">
        <v>0</v>
      </c>
      <c r="X143" t="s">
        <v>2</v>
      </c>
      <c r="Y143" t="s">
        <v>0</v>
      </c>
      <c r="Z143" t="s">
        <v>2</v>
      </c>
      <c r="AA143" t="s">
        <v>0</v>
      </c>
      <c r="AB143" t="s">
        <v>0</v>
      </c>
      <c r="AC143" t="s">
        <v>0</v>
      </c>
      <c r="AD143" t="s">
        <v>2</v>
      </c>
      <c r="AE143" t="s">
        <v>0</v>
      </c>
      <c r="AG143">
        <v>5</v>
      </c>
      <c r="AH143">
        <v>8</v>
      </c>
      <c r="AI143" t="s">
        <v>9</v>
      </c>
      <c r="AJ143">
        <v>8</v>
      </c>
      <c r="AK143" t="s">
        <v>9</v>
      </c>
      <c r="AL143">
        <v>8</v>
      </c>
      <c r="AM143" t="s">
        <v>9</v>
      </c>
      <c r="AN143" t="s">
        <v>9</v>
      </c>
      <c r="AO143" t="s">
        <v>270</v>
      </c>
    </row>
    <row r="144" spans="1:41" x14ac:dyDescent="0.25">
      <c r="A144">
        <f>IF(C144&lt;&gt;"", COUNTA($C$2:C144), "")</f>
        <v>143</v>
      </c>
      <c r="B144">
        <v>20</v>
      </c>
      <c r="C144" t="s">
        <v>296</v>
      </c>
      <c r="D144" t="s">
        <v>23</v>
      </c>
      <c r="E144" t="s">
        <v>269</v>
      </c>
      <c r="F144" t="s">
        <v>54</v>
      </c>
      <c r="G144">
        <v>29</v>
      </c>
      <c r="H144" t="s">
        <v>0</v>
      </c>
      <c r="I144" t="s">
        <v>0</v>
      </c>
      <c r="J144" t="s">
        <v>0</v>
      </c>
      <c r="K144" t="s">
        <v>1</v>
      </c>
      <c r="L144" t="s">
        <v>2</v>
      </c>
      <c r="M144" t="s">
        <v>0</v>
      </c>
      <c r="N144" t="s">
        <v>1</v>
      </c>
      <c r="O144" t="s">
        <v>0</v>
      </c>
      <c r="P144" t="s">
        <v>0</v>
      </c>
      <c r="Q144" t="s">
        <v>2</v>
      </c>
      <c r="R144" t="s">
        <v>1</v>
      </c>
      <c r="S144" t="s">
        <v>2</v>
      </c>
      <c r="T144" t="s">
        <v>2</v>
      </c>
      <c r="U144" t="s">
        <v>2</v>
      </c>
      <c r="V144" t="s">
        <v>0</v>
      </c>
      <c r="W144" t="s">
        <v>0</v>
      </c>
      <c r="X144" t="s">
        <v>2</v>
      </c>
      <c r="Y144" t="s">
        <v>0</v>
      </c>
      <c r="Z144" t="s">
        <v>2</v>
      </c>
      <c r="AA144" t="s">
        <v>0</v>
      </c>
      <c r="AB144" t="s">
        <v>0</v>
      </c>
      <c r="AC144" t="s">
        <v>0</v>
      </c>
      <c r="AD144" t="s">
        <v>2</v>
      </c>
      <c r="AE144" t="s">
        <v>0</v>
      </c>
      <c r="AG144">
        <v>5</v>
      </c>
      <c r="AH144">
        <v>8</v>
      </c>
      <c r="AI144" t="s">
        <v>9</v>
      </c>
      <c r="AJ144">
        <v>8</v>
      </c>
      <c r="AK144" t="s">
        <v>9</v>
      </c>
      <c r="AL144">
        <v>8</v>
      </c>
      <c r="AM144" t="s">
        <v>9</v>
      </c>
      <c r="AN144" t="s">
        <v>9</v>
      </c>
      <c r="AO144" t="s">
        <v>270</v>
      </c>
    </row>
    <row r="145" spans="1:41" x14ac:dyDescent="0.25">
      <c r="A145">
        <f>IF(C145&lt;&gt;"", COUNTA($C$2:C145), "")</f>
        <v>144</v>
      </c>
      <c r="B145">
        <v>21</v>
      </c>
      <c r="C145" t="s">
        <v>297</v>
      </c>
      <c r="D145" t="s">
        <v>298</v>
      </c>
      <c r="E145" t="s">
        <v>269</v>
      </c>
      <c r="F145" t="s">
        <v>27</v>
      </c>
      <c r="G145">
        <v>35</v>
      </c>
      <c r="H145" t="s">
        <v>0</v>
      </c>
      <c r="I145" t="s">
        <v>0</v>
      </c>
      <c r="J145" t="s">
        <v>0</v>
      </c>
      <c r="K145" t="s">
        <v>1</v>
      </c>
      <c r="L145" t="s">
        <v>1</v>
      </c>
      <c r="M145" t="s">
        <v>0</v>
      </c>
      <c r="N145" t="s">
        <v>2</v>
      </c>
      <c r="O145" t="s">
        <v>0</v>
      </c>
      <c r="P145" t="s">
        <v>0</v>
      </c>
      <c r="Q145" t="s">
        <v>2</v>
      </c>
      <c r="R145" t="s">
        <v>1</v>
      </c>
      <c r="S145" t="s">
        <v>2</v>
      </c>
      <c r="T145" t="s">
        <v>2</v>
      </c>
      <c r="U145" t="s">
        <v>2</v>
      </c>
      <c r="V145" t="s">
        <v>0</v>
      </c>
      <c r="W145" t="s">
        <v>0</v>
      </c>
      <c r="X145" t="s">
        <v>2</v>
      </c>
      <c r="Y145" t="s">
        <v>0</v>
      </c>
      <c r="Z145" t="s">
        <v>2</v>
      </c>
      <c r="AA145" t="s">
        <v>0</v>
      </c>
      <c r="AB145" t="s">
        <v>0</v>
      </c>
      <c r="AC145" t="s">
        <v>0</v>
      </c>
      <c r="AD145" t="s">
        <v>2</v>
      </c>
      <c r="AE145" t="s">
        <v>0</v>
      </c>
      <c r="AG145">
        <v>4.5999999999999996</v>
      </c>
      <c r="AH145">
        <v>6</v>
      </c>
      <c r="AI145" t="s">
        <v>10</v>
      </c>
      <c r="AJ145">
        <v>8</v>
      </c>
      <c r="AK145" t="s">
        <v>9</v>
      </c>
      <c r="AL145">
        <v>8</v>
      </c>
      <c r="AM145" t="s">
        <v>9</v>
      </c>
      <c r="AN145" t="s">
        <v>9</v>
      </c>
      <c r="AO145" t="s">
        <v>270</v>
      </c>
    </row>
    <row r="146" spans="1:41" x14ac:dyDescent="0.25">
      <c r="A146">
        <f>IF(C146&lt;&gt;"", COUNTA($C$2:C146), "")</f>
        <v>145</v>
      </c>
      <c r="B146">
        <v>22</v>
      </c>
      <c r="C146" t="s">
        <v>299</v>
      </c>
      <c r="D146" t="s">
        <v>46</v>
      </c>
      <c r="E146" t="s">
        <v>269</v>
      </c>
      <c r="F146" t="s">
        <v>300</v>
      </c>
      <c r="G146">
        <v>41</v>
      </c>
      <c r="H146" t="s">
        <v>0</v>
      </c>
      <c r="I146" t="s">
        <v>0</v>
      </c>
      <c r="J146" t="s">
        <v>0</v>
      </c>
      <c r="K146" t="s">
        <v>1</v>
      </c>
      <c r="L146" t="s">
        <v>1</v>
      </c>
      <c r="M146" t="s">
        <v>0</v>
      </c>
      <c r="N146" t="s">
        <v>2</v>
      </c>
      <c r="O146" t="s">
        <v>0</v>
      </c>
      <c r="P146" t="s">
        <v>0</v>
      </c>
      <c r="Q146" t="s">
        <v>2</v>
      </c>
      <c r="R146" t="s">
        <v>1</v>
      </c>
      <c r="S146" t="s">
        <v>2</v>
      </c>
      <c r="T146" t="s">
        <v>2</v>
      </c>
      <c r="U146" t="s">
        <v>2</v>
      </c>
      <c r="V146" t="s">
        <v>0</v>
      </c>
      <c r="W146" t="s">
        <v>0</v>
      </c>
      <c r="X146" t="s">
        <v>2</v>
      </c>
      <c r="Y146" t="s">
        <v>0</v>
      </c>
      <c r="Z146" t="s">
        <v>2</v>
      </c>
      <c r="AA146" t="s">
        <v>0</v>
      </c>
      <c r="AB146" t="s">
        <v>0</v>
      </c>
      <c r="AC146" t="s">
        <v>0</v>
      </c>
      <c r="AD146" t="s">
        <v>2</v>
      </c>
      <c r="AE146" t="s">
        <v>0</v>
      </c>
      <c r="AG146">
        <v>4.5999999999999996</v>
      </c>
      <c r="AH146">
        <v>6</v>
      </c>
      <c r="AI146" t="s">
        <v>10</v>
      </c>
      <c r="AJ146">
        <v>8</v>
      </c>
      <c r="AK146" t="s">
        <v>9</v>
      </c>
      <c r="AL146">
        <v>8</v>
      </c>
      <c r="AM146" t="s">
        <v>9</v>
      </c>
      <c r="AN146" t="s">
        <v>9</v>
      </c>
      <c r="AO146" t="s">
        <v>270</v>
      </c>
    </row>
    <row r="147" spans="1:41" x14ac:dyDescent="0.25">
      <c r="A147">
        <f>IF(C147&lt;&gt;"", COUNTA($C$2:C147), "")</f>
        <v>146</v>
      </c>
      <c r="B147">
        <v>23</v>
      </c>
      <c r="C147" t="s">
        <v>301</v>
      </c>
      <c r="D147" t="s">
        <v>302</v>
      </c>
      <c r="E147" t="s">
        <v>269</v>
      </c>
      <c r="F147" t="s">
        <v>82</v>
      </c>
      <c r="G147">
        <v>32</v>
      </c>
      <c r="H147" t="s">
        <v>0</v>
      </c>
      <c r="I147" t="s">
        <v>0</v>
      </c>
      <c r="J147" t="s">
        <v>0</v>
      </c>
      <c r="K147" t="s">
        <v>1</v>
      </c>
      <c r="L147" t="s">
        <v>1</v>
      </c>
      <c r="M147" t="s">
        <v>0</v>
      </c>
      <c r="N147" t="s">
        <v>2</v>
      </c>
      <c r="O147" t="s">
        <v>0</v>
      </c>
      <c r="P147" t="s">
        <v>0</v>
      </c>
      <c r="Q147" t="s">
        <v>2</v>
      </c>
      <c r="R147" t="s">
        <v>1</v>
      </c>
      <c r="S147" t="s">
        <v>2</v>
      </c>
      <c r="T147" t="s">
        <v>2</v>
      </c>
      <c r="U147" t="s">
        <v>2</v>
      </c>
      <c r="V147" t="s">
        <v>0</v>
      </c>
      <c r="W147" t="s">
        <v>0</v>
      </c>
      <c r="X147" t="s">
        <v>2</v>
      </c>
      <c r="Y147" t="s">
        <v>0</v>
      </c>
      <c r="Z147" t="s">
        <v>2</v>
      </c>
      <c r="AA147" t="s">
        <v>0</v>
      </c>
      <c r="AB147" t="s">
        <v>0</v>
      </c>
      <c r="AC147" t="s">
        <v>0</v>
      </c>
      <c r="AD147" t="s">
        <v>2</v>
      </c>
      <c r="AE147" t="s">
        <v>0</v>
      </c>
      <c r="AG147">
        <v>4.5999999999999996</v>
      </c>
      <c r="AH147">
        <v>6</v>
      </c>
      <c r="AI147" t="s">
        <v>10</v>
      </c>
      <c r="AJ147">
        <v>8</v>
      </c>
      <c r="AK147" t="s">
        <v>9</v>
      </c>
      <c r="AL147">
        <v>8</v>
      </c>
      <c r="AM147" t="s">
        <v>9</v>
      </c>
      <c r="AN147" t="s">
        <v>9</v>
      </c>
      <c r="AO147" t="s">
        <v>270</v>
      </c>
    </row>
    <row r="148" spans="1:41" x14ac:dyDescent="0.25">
      <c r="A148">
        <f>IF(C148&lt;&gt;"", COUNTA($C$2:C148), "")</f>
        <v>147</v>
      </c>
      <c r="B148">
        <v>24</v>
      </c>
      <c r="C148" t="s">
        <v>303</v>
      </c>
      <c r="D148" t="s">
        <v>147</v>
      </c>
      <c r="E148" t="s">
        <v>269</v>
      </c>
      <c r="F148" t="s">
        <v>27</v>
      </c>
      <c r="G148">
        <v>35</v>
      </c>
      <c r="H148" t="s">
        <v>0</v>
      </c>
      <c r="I148" t="s">
        <v>0</v>
      </c>
      <c r="J148" t="s">
        <v>0</v>
      </c>
      <c r="K148" t="s">
        <v>1</v>
      </c>
      <c r="L148" t="s">
        <v>1</v>
      </c>
      <c r="M148" t="s">
        <v>0</v>
      </c>
      <c r="N148" t="s">
        <v>2</v>
      </c>
      <c r="O148" t="s">
        <v>2</v>
      </c>
      <c r="P148" t="s">
        <v>0</v>
      </c>
      <c r="Q148" t="s">
        <v>2</v>
      </c>
      <c r="R148" t="s">
        <v>1</v>
      </c>
      <c r="S148" t="s">
        <v>2</v>
      </c>
      <c r="T148" t="s">
        <v>2</v>
      </c>
      <c r="U148" t="s">
        <v>8</v>
      </c>
      <c r="V148" t="s">
        <v>0</v>
      </c>
      <c r="W148" t="s">
        <v>0</v>
      </c>
      <c r="X148" t="s">
        <v>2</v>
      </c>
      <c r="Y148" t="s">
        <v>0</v>
      </c>
      <c r="Z148" t="s">
        <v>2</v>
      </c>
      <c r="AA148" t="s">
        <v>0</v>
      </c>
      <c r="AB148" t="s">
        <v>0</v>
      </c>
      <c r="AC148" t="s">
        <v>0</v>
      </c>
      <c r="AD148" t="s">
        <v>2</v>
      </c>
      <c r="AE148" t="s">
        <v>0</v>
      </c>
      <c r="AG148">
        <v>4.2</v>
      </c>
      <c r="AH148">
        <v>5</v>
      </c>
      <c r="AI148" t="s">
        <v>10</v>
      </c>
      <c r="AJ148">
        <v>7</v>
      </c>
      <c r="AK148" t="s">
        <v>9</v>
      </c>
      <c r="AL148">
        <v>8</v>
      </c>
      <c r="AM148" t="s">
        <v>9</v>
      </c>
      <c r="AN148" t="s">
        <v>10</v>
      </c>
      <c r="AO148" t="s">
        <v>270</v>
      </c>
    </row>
    <row r="149" spans="1:41" x14ac:dyDescent="0.25">
      <c r="A149">
        <f>IF(C149&lt;&gt;"", COUNTA($C$2:C149), "")</f>
        <v>148</v>
      </c>
      <c r="B149">
        <v>25</v>
      </c>
      <c r="C149" t="s">
        <v>304</v>
      </c>
      <c r="D149" t="s">
        <v>305</v>
      </c>
      <c r="E149" t="s">
        <v>269</v>
      </c>
      <c r="F149" t="s">
        <v>220</v>
      </c>
      <c r="G149">
        <v>22</v>
      </c>
      <c r="H149" t="s">
        <v>0</v>
      </c>
      <c r="I149" t="s">
        <v>0</v>
      </c>
      <c r="J149" t="s">
        <v>0</v>
      </c>
      <c r="K149" t="s">
        <v>1</v>
      </c>
      <c r="L149" t="s">
        <v>1</v>
      </c>
      <c r="M149" t="s">
        <v>0</v>
      </c>
      <c r="N149" t="s">
        <v>2</v>
      </c>
      <c r="O149" t="s">
        <v>0</v>
      </c>
      <c r="P149" t="s">
        <v>0</v>
      </c>
      <c r="Q149" t="s">
        <v>2</v>
      </c>
      <c r="R149" t="s">
        <v>1</v>
      </c>
      <c r="S149" t="s">
        <v>2</v>
      </c>
      <c r="T149" t="s">
        <v>2</v>
      </c>
      <c r="U149" t="s">
        <v>8</v>
      </c>
      <c r="V149" t="s">
        <v>0</v>
      </c>
      <c r="W149" t="s">
        <v>0</v>
      </c>
      <c r="X149" t="s">
        <v>2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2</v>
      </c>
      <c r="AE149" t="s">
        <v>0</v>
      </c>
      <c r="AG149">
        <v>4.2</v>
      </c>
      <c r="AH149">
        <v>6</v>
      </c>
      <c r="AI149" t="s">
        <v>10</v>
      </c>
      <c r="AJ149">
        <v>7</v>
      </c>
      <c r="AK149" t="s">
        <v>9</v>
      </c>
      <c r="AL149">
        <v>7</v>
      </c>
      <c r="AM149" t="s">
        <v>9</v>
      </c>
      <c r="AN149" t="s">
        <v>10</v>
      </c>
      <c r="AO149" t="s">
        <v>270</v>
      </c>
    </row>
    <row r="150" spans="1:41" x14ac:dyDescent="0.25">
      <c r="A150">
        <f>IF(C150&lt;&gt;"", COUNTA($C$2:C150), "")</f>
        <v>149</v>
      </c>
      <c r="B150">
        <v>26</v>
      </c>
      <c r="C150" t="s">
        <v>201</v>
      </c>
      <c r="D150" t="s">
        <v>306</v>
      </c>
      <c r="E150" t="s">
        <v>269</v>
      </c>
      <c r="F150" t="s">
        <v>54</v>
      </c>
      <c r="G150">
        <v>29</v>
      </c>
      <c r="H150" t="s">
        <v>0</v>
      </c>
      <c r="I150" t="s">
        <v>0</v>
      </c>
      <c r="J150" t="s">
        <v>0</v>
      </c>
      <c r="K150" t="s">
        <v>1</v>
      </c>
      <c r="L150" t="s">
        <v>2</v>
      </c>
      <c r="M150" t="s">
        <v>0</v>
      </c>
      <c r="N150" t="s">
        <v>1</v>
      </c>
      <c r="O150" t="s">
        <v>0</v>
      </c>
      <c r="P150" t="s">
        <v>0</v>
      </c>
      <c r="Q150" t="s">
        <v>2</v>
      </c>
      <c r="R150" t="s">
        <v>1</v>
      </c>
      <c r="S150" t="s">
        <v>2</v>
      </c>
      <c r="T150" t="s">
        <v>2</v>
      </c>
      <c r="U150" t="s">
        <v>2</v>
      </c>
      <c r="V150" t="s">
        <v>0</v>
      </c>
      <c r="W150" t="s">
        <v>0</v>
      </c>
      <c r="X150" t="s">
        <v>2</v>
      </c>
      <c r="Y150" t="s">
        <v>0</v>
      </c>
      <c r="Z150" t="s">
        <v>2</v>
      </c>
      <c r="AA150" t="s">
        <v>0</v>
      </c>
      <c r="AB150" t="s">
        <v>0</v>
      </c>
      <c r="AC150" t="s">
        <v>0</v>
      </c>
      <c r="AD150" t="s">
        <v>2</v>
      </c>
      <c r="AE150" t="s">
        <v>0</v>
      </c>
      <c r="AG150">
        <v>5</v>
      </c>
      <c r="AH150">
        <v>8</v>
      </c>
      <c r="AI150" t="s">
        <v>9</v>
      </c>
      <c r="AJ150">
        <v>8</v>
      </c>
      <c r="AK150" t="s">
        <v>9</v>
      </c>
      <c r="AL150">
        <v>8</v>
      </c>
      <c r="AM150" t="s">
        <v>9</v>
      </c>
      <c r="AN150" t="s">
        <v>9</v>
      </c>
      <c r="AO150" t="s">
        <v>270</v>
      </c>
    </row>
    <row r="151" spans="1:41" x14ac:dyDescent="0.25">
      <c r="A151">
        <f>IF(C151&lt;&gt;"", COUNTA($C$2:C151), "")</f>
        <v>150</v>
      </c>
      <c r="B151">
        <v>27</v>
      </c>
      <c r="C151" t="s">
        <v>307</v>
      </c>
      <c r="D151" t="s">
        <v>46</v>
      </c>
      <c r="E151" t="s">
        <v>269</v>
      </c>
      <c r="F151" t="s">
        <v>54</v>
      </c>
      <c r="G151">
        <v>29</v>
      </c>
      <c r="H151" t="s">
        <v>0</v>
      </c>
      <c r="I151" t="s">
        <v>0</v>
      </c>
      <c r="J151" t="s">
        <v>0</v>
      </c>
      <c r="K151" t="s">
        <v>1</v>
      </c>
      <c r="L151" t="s">
        <v>2</v>
      </c>
      <c r="M151" t="s">
        <v>0</v>
      </c>
      <c r="N151" t="s">
        <v>1</v>
      </c>
      <c r="O151" t="s">
        <v>0</v>
      </c>
      <c r="P151" t="s">
        <v>0</v>
      </c>
      <c r="Q151" t="s">
        <v>2</v>
      </c>
      <c r="R151" t="s">
        <v>1</v>
      </c>
      <c r="S151" t="s">
        <v>2</v>
      </c>
      <c r="T151" t="s">
        <v>2</v>
      </c>
      <c r="U151" t="s">
        <v>2</v>
      </c>
      <c r="V151" t="s">
        <v>0</v>
      </c>
      <c r="W151" t="s">
        <v>0</v>
      </c>
      <c r="X151" t="s">
        <v>2</v>
      </c>
      <c r="Y151" t="s">
        <v>0</v>
      </c>
      <c r="Z151" t="s">
        <v>2</v>
      </c>
      <c r="AA151" t="s">
        <v>0</v>
      </c>
      <c r="AB151" t="s">
        <v>0</v>
      </c>
      <c r="AC151" t="s">
        <v>0</v>
      </c>
      <c r="AD151" t="s">
        <v>2</v>
      </c>
      <c r="AE151" t="s">
        <v>0</v>
      </c>
      <c r="AG151">
        <v>5</v>
      </c>
      <c r="AH151">
        <v>8</v>
      </c>
      <c r="AI151" t="s">
        <v>9</v>
      </c>
      <c r="AJ151">
        <v>8</v>
      </c>
      <c r="AK151" t="s">
        <v>9</v>
      </c>
      <c r="AL151">
        <v>8</v>
      </c>
      <c r="AM151" t="s">
        <v>9</v>
      </c>
      <c r="AN151" t="s">
        <v>9</v>
      </c>
      <c r="AO151" t="s">
        <v>270</v>
      </c>
    </row>
    <row r="152" spans="1:41" x14ac:dyDescent="0.25">
      <c r="A152">
        <f>IF(C152&lt;&gt;"", COUNTA($C$2:C152), "")</f>
        <v>151</v>
      </c>
      <c r="B152">
        <v>28</v>
      </c>
      <c r="C152" t="s">
        <v>308</v>
      </c>
      <c r="D152" t="s">
        <v>309</v>
      </c>
      <c r="E152" t="s">
        <v>269</v>
      </c>
      <c r="F152" t="s">
        <v>51</v>
      </c>
      <c r="G152">
        <v>24</v>
      </c>
      <c r="H152" t="s">
        <v>0</v>
      </c>
      <c r="I152" t="s">
        <v>0</v>
      </c>
      <c r="J152" t="s">
        <v>0</v>
      </c>
      <c r="K152" t="s">
        <v>1</v>
      </c>
      <c r="L152" t="s">
        <v>1</v>
      </c>
      <c r="M152" t="s">
        <v>0</v>
      </c>
      <c r="N152" t="s">
        <v>2</v>
      </c>
      <c r="O152" t="s">
        <v>0</v>
      </c>
      <c r="P152" t="s">
        <v>0</v>
      </c>
      <c r="Q152" t="s">
        <v>2</v>
      </c>
      <c r="R152" t="s">
        <v>1</v>
      </c>
      <c r="S152" t="s">
        <v>2</v>
      </c>
      <c r="T152" t="s">
        <v>2</v>
      </c>
      <c r="U152" t="s">
        <v>2</v>
      </c>
      <c r="V152" t="s">
        <v>0</v>
      </c>
      <c r="W152" t="s">
        <v>0</v>
      </c>
      <c r="X152" t="s">
        <v>2</v>
      </c>
      <c r="Y152" t="s">
        <v>0</v>
      </c>
      <c r="Z152" t="s">
        <v>2</v>
      </c>
      <c r="AA152" t="s">
        <v>0</v>
      </c>
      <c r="AB152" t="s">
        <v>0</v>
      </c>
      <c r="AC152" t="s">
        <v>0</v>
      </c>
      <c r="AD152" t="s">
        <v>2</v>
      </c>
      <c r="AE152" t="s">
        <v>0</v>
      </c>
      <c r="AG152">
        <v>4.5999999999999996</v>
      </c>
      <c r="AH152">
        <v>6</v>
      </c>
      <c r="AI152" t="s">
        <v>10</v>
      </c>
      <c r="AJ152">
        <v>8</v>
      </c>
      <c r="AK152" t="s">
        <v>9</v>
      </c>
      <c r="AL152">
        <v>8</v>
      </c>
      <c r="AM152" t="s">
        <v>9</v>
      </c>
      <c r="AN152" t="s">
        <v>9</v>
      </c>
      <c r="AO152" t="s">
        <v>270</v>
      </c>
    </row>
    <row r="153" spans="1:41" x14ac:dyDescent="0.25">
      <c r="A153">
        <f>IF(C153&lt;&gt;"", COUNTA($C$2:C153), "")</f>
        <v>152</v>
      </c>
      <c r="B153">
        <v>29</v>
      </c>
      <c r="C153" t="s">
        <v>310</v>
      </c>
      <c r="D153" t="s">
        <v>311</v>
      </c>
      <c r="E153" t="s">
        <v>269</v>
      </c>
      <c r="F153" t="s">
        <v>106</v>
      </c>
      <c r="G153">
        <v>27</v>
      </c>
      <c r="H153" t="s">
        <v>0</v>
      </c>
      <c r="I153" t="s">
        <v>0</v>
      </c>
      <c r="J153" t="s">
        <v>0</v>
      </c>
      <c r="K153" t="s">
        <v>1</v>
      </c>
      <c r="L153" t="s">
        <v>1</v>
      </c>
      <c r="M153" t="s">
        <v>0</v>
      </c>
      <c r="N153" t="s">
        <v>2</v>
      </c>
      <c r="O153" t="s">
        <v>0</v>
      </c>
      <c r="P153" t="s">
        <v>0</v>
      </c>
      <c r="Q153" t="s">
        <v>2</v>
      </c>
      <c r="R153" t="s">
        <v>1</v>
      </c>
      <c r="S153" t="s">
        <v>2</v>
      </c>
      <c r="T153" t="s">
        <v>1</v>
      </c>
      <c r="U153" t="s">
        <v>1</v>
      </c>
      <c r="V153" t="s">
        <v>0</v>
      </c>
      <c r="W153" t="s">
        <v>0</v>
      </c>
      <c r="X153" t="s">
        <v>2</v>
      </c>
      <c r="Y153" t="s">
        <v>1</v>
      </c>
      <c r="Z153" t="s">
        <v>2</v>
      </c>
      <c r="AA153" t="s">
        <v>0</v>
      </c>
      <c r="AB153" t="s">
        <v>0</v>
      </c>
      <c r="AC153" t="s">
        <v>0</v>
      </c>
      <c r="AD153" t="s">
        <v>2</v>
      </c>
      <c r="AE153" t="s">
        <v>0</v>
      </c>
      <c r="AG153">
        <v>4</v>
      </c>
      <c r="AH153">
        <v>6</v>
      </c>
      <c r="AI153" t="s">
        <v>10</v>
      </c>
      <c r="AJ153">
        <v>6</v>
      </c>
      <c r="AK153" t="s">
        <v>10</v>
      </c>
      <c r="AL153">
        <v>7</v>
      </c>
      <c r="AM153" t="s">
        <v>9</v>
      </c>
      <c r="AN153" t="s">
        <v>10</v>
      </c>
      <c r="AO153" t="s">
        <v>270</v>
      </c>
    </row>
    <row r="154" spans="1:41" x14ac:dyDescent="0.25">
      <c r="A154">
        <f>IF(C154&lt;&gt;"", COUNTA($C$2:C154), "")</f>
        <v>153</v>
      </c>
      <c r="B154">
        <v>30</v>
      </c>
      <c r="C154" t="s">
        <v>312</v>
      </c>
      <c r="D154" t="s">
        <v>313</v>
      </c>
      <c r="E154" t="s">
        <v>132</v>
      </c>
      <c r="F154" t="s">
        <v>132</v>
      </c>
      <c r="G154">
        <v>0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  <c r="Q154" t="s">
        <v>17</v>
      </c>
      <c r="R154" t="s">
        <v>17</v>
      </c>
      <c r="S154" t="s">
        <v>17</v>
      </c>
      <c r="T154" t="s">
        <v>17</v>
      </c>
      <c r="U154" t="s">
        <v>17</v>
      </c>
      <c r="V154" t="s">
        <v>17</v>
      </c>
      <c r="W154" t="s">
        <v>17</v>
      </c>
      <c r="X154" t="s">
        <v>17</v>
      </c>
      <c r="Y154" t="s">
        <v>17</v>
      </c>
      <c r="Z154" t="s">
        <v>17</v>
      </c>
      <c r="AA154" t="s">
        <v>17</v>
      </c>
      <c r="AB154" t="s">
        <v>17</v>
      </c>
      <c r="AC154" t="s">
        <v>17</v>
      </c>
      <c r="AD154" t="s">
        <v>17</v>
      </c>
      <c r="AE154" t="s">
        <v>17</v>
      </c>
      <c r="AG154">
        <v>0</v>
      </c>
      <c r="AH154">
        <v>0</v>
      </c>
      <c r="AI154" t="s">
        <v>18</v>
      </c>
      <c r="AJ154">
        <v>0</v>
      </c>
      <c r="AK154" t="s">
        <v>18</v>
      </c>
      <c r="AL154">
        <v>0</v>
      </c>
      <c r="AM154" t="s">
        <v>18</v>
      </c>
      <c r="AN154" t="s">
        <v>18</v>
      </c>
      <c r="AO154" t="s">
        <v>270</v>
      </c>
    </row>
    <row r="155" spans="1:41" x14ac:dyDescent="0.25">
      <c r="A155">
        <f>IF(C155&lt;&gt;"", COUNTA($C$2:C155), "")</f>
        <v>154</v>
      </c>
      <c r="B155">
        <v>1</v>
      </c>
      <c r="C155" t="s">
        <v>314</v>
      </c>
      <c r="D155" t="s">
        <v>93</v>
      </c>
      <c r="E155" t="s">
        <v>315</v>
      </c>
      <c r="F155" t="s">
        <v>54</v>
      </c>
      <c r="G155">
        <v>54</v>
      </c>
      <c r="H155" t="s">
        <v>0</v>
      </c>
      <c r="I155" t="s">
        <v>0</v>
      </c>
      <c r="J155" t="s">
        <v>0</v>
      </c>
      <c r="K155" t="s">
        <v>1</v>
      </c>
      <c r="L155" t="s">
        <v>2</v>
      </c>
      <c r="M155" t="s">
        <v>0</v>
      </c>
      <c r="N155" t="s">
        <v>1</v>
      </c>
      <c r="O155" t="s">
        <v>0</v>
      </c>
      <c r="P155" t="s">
        <v>0</v>
      </c>
      <c r="Q155" t="s">
        <v>2</v>
      </c>
      <c r="R155" t="s">
        <v>1</v>
      </c>
      <c r="S155" t="s">
        <v>2</v>
      </c>
      <c r="T155" t="s">
        <v>2</v>
      </c>
      <c r="U155" t="s">
        <v>2</v>
      </c>
      <c r="V155" t="s">
        <v>0</v>
      </c>
      <c r="W155" t="s">
        <v>0</v>
      </c>
      <c r="X155" t="s">
        <v>2</v>
      </c>
      <c r="Y155" t="s">
        <v>0</v>
      </c>
      <c r="Z155" t="s">
        <v>2</v>
      </c>
      <c r="AA155" t="s">
        <v>0</v>
      </c>
      <c r="AB155" t="s">
        <v>0</v>
      </c>
      <c r="AC155" t="s">
        <v>0</v>
      </c>
      <c r="AD155" t="s">
        <v>2</v>
      </c>
      <c r="AE155" t="s">
        <v>0</v>
      </c>
      <c r="AG155">
        <v>5</v>
      </c>
      <c r="AH155">
        <v>8</v>
      </c>
      <c r="AI155" t="s">
        <v>9</v>
      </c>
      <c r="AJ155">
        <v>8</v>
      </c>
      <c r="AK155" t="s">
        <v>9</v>
      </c>
      <c r="AL155">
        <v>8</v>
      </c>
      <c r="AM155" t="s">
        <v>9</v>
      </c>
      <c r="AN155" t="s">
        <v>9</v>
      </c>
      <c r="AO155" t="s">
        <v>316</v>
      </c>
    </row>
    <row r="156" spans="1:41" x14ac:dyDescent="0.25">
      <c r="A156">
        <f>IF(C156&lt;&gt;"", COUNTA($C$2:C156), "")</f>
        <v>155</v>
      </c>
      <c r="B156">
        <v>2</v>
      </c>
      <c r="C156" t="s">
        <v>278</v>
      </c>
      <c r="D156" t="s">
        <v>46</v>
      </c>
      <c r="E156" t="s">
        <v>315</v>
      </c>
      <c r="F156" t="s">
        <v>54</v>
      </c>
      <c r="G156">
        <v>54</v>
      </c>
      <c r="H156" t="s">
        <v>0</v>
      </c>
      <c r="I156" t="s">
        <v>0</v>
      </c>
      <c r="J156" t="s">
        <v>0</v>
      </c>
      <c r="K156" t="s">
        <v>1</v>
      </c>
      <c r="L156" t="s">
        <v>2</v>
      </c>
      <c r="M156" t="s">
        <v>0</v>
      </c>
      <c r="N156" t="s">
        <v>1</v>
      </c>
      <c r="O156" t="s">
        <v>0</v>
      </c>
      <c r="P156" t="s">
        <v>0</v>
      </c>
      <c r="Q156" t="s">
        <v>2</v>
      </c>
      <c r="R156" t="s">
        <v>1</v>
      </c>
      <c r="S156" t="s">
        <v>2</v>
      </c>
      <c r="T156" t="s">
        <v>2</v>
      </c>
      <c r="U156" t="s">
        <v>2</v>
      </c>
      <c r="V156" t="s">
        <v>0</v>
      </c>
      <c r="W156" t="s">
        <v>0</v>
      </c>
      <c r="X156" t="s">
        <v>2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2</v>
      </c>
      <c r="AE156" t="s">
        <v>0</v>
      </c>
      <c r="AG156">
        <v>4.8</v>
      </c>
      <c r="AH156">
        <v>8</v>
      </c>
      <c r="AI156" t="s">
        <v>9</v>
      </c>
      <c r="AJ156">
        <v>8</v>
      </c>
      <c r="AK156" t="s">
        <v>9</v>
      </c>
      <c r="AL156">
        <v>7</v>
      </c>
      <c r="AM156" t="s">
        <v>9</v>
      </c>
      <c r="AN156" t="s">
        <v>9</v>
      </c>
      <c r="AO156" t="s">
        <v>316</v>
      </c>
    </row>
    <row r="157" spans="1:41" x14ac:dyDescent="0.25">
      <c r="A157">
        <f>IF(C157&lt;&gt;"", COUNTA($C$2:C157), "")</f>
        <v>156</v>
      </c>
      <c r="B157">
        <v>3</v>
      </c>
      <c r="C157" t="s">
        <v>317</v>
      </c>
      <c r="D157" t="s">
        <v>318</v>
      </c>
      <c r="E157" t="s">
        <v>132</v>
      </c>
      <c r="F157" t="s">
        <v>132</v>
      </c>
      <c r="G157">
        <v>0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17</v>
      </c>
      <c r="Q157" t="s">
        <v>17</v>
      </c>
      <c r="R157" t="s">
        <v>17</v>
      </c>
      <c r="S157" t="s">
        <v>17</v>
      </c>
      <c r="T157" t="s">
        <v>17</v>
      </c>
      <c r="U157" t="s">
        <v>17</v>
      </c>
      <c r="V157" t="s">
        <v>17</v>
      </c>
      <c r="W157" t="s">
        <v>17</v>
      </c>
      <c r="X157" t="s">
        <v>17</v>
      </c>
      <c r="Y157" t="s">
        <v>17</v>
      </c>
      <c r="Z157" t="s">
        <v>17</v>
      </c>
      <c r="AA157" t="s">
        <v>17</v>
      </c>
      <c r="AB157" t="s">
        <v>17</v>
      </c>
      <c r="AC157" t="s">
        <v>17</v>
      </c>
      <c r="AD157" t="s">
        <v>17</v>
      </c>
      <c r="AE157" t="s">
        <v>17</v>
      </c>
      <c r="AG157">
        <v>0</v>
      </c>
      <c r="AH157">
        <v>0</v>
      </c>
      <c r="AI157" t="s">
        <v>18</v>
      </c>
      <c r="AJ157">
        <v>0</v>
      </c>
      <c r="AK157" t="s">
        <v>18</v>
      </c>
      <c r="AL157">
        <v>0</v>
      </c>
      <c r="AM157" t="s">
        <v>18</v>
      </c>
      <c r="AN157" t="s">
        <v>18</v>
      </c>
      <c r="AO157" t="s">
        <v>316</v>
      </c>
    </row>
    <row r="158" spans="1:41" x14ac:dyDescent="0.25">
      <c r="A158">
        <f>IF(C158&lt;&gt;"", COUNTA($C$2:C158), "")</f>
        <v>157</v>
      </c>
      <c r="B158">
        <v>4</v>
      </c>
      <c r="C158" t="s">
        <v>319</v>
      </c>
      <c r="D158" t="s">
        <v>35</v>
      </c>
      <c r="E158" t="s">
        <v>315</v>
      </c>
      <c r="F158" t="s">
        <v>24</v>
      </c>
      <c r="G158">
        <v>53</v>
      </c>
      <c r="H158" t="s">
        <v>0</v>
      </c>
      <c r="I158" t="s">
        <v>0</v>
      </c>
      <c r="J158" t="s">
        <v>0</v>
      </c>
      <c r="K158" t="s">
        <v>1</v>
      </c>
      <c r="L158" t="s">
        <v>2</v>
      </c>
      <c r="M158" t="s">
        <v>0</v>
      </c>
      <c r="N158" t="s">
        <v>1</v>
      </c>
      <c r="O158" t="s">
        <v>0</v>
      </c>
      <c r="P158" t="s">
        <v>0</v>
      </c>
      <c r="Q158" t="s">
        <v>0</v>
      </c>
      <c r="R158" t="s">
        <v>2</v>
      </c>
      <c r="S158" t="s">
        <v>2</v>
      </c>
      <c r="T158" t="s">
        <v>2</v>
      </c>
      <c r="U158" t="s">
        <v>2</v>
      </c>
      <c r="V158" t="s">
        <v>0</v>
      </c>
      <c r="W158" t="s">
        <v>0</v>
      </c>
      <c r="X158" t="s">
        <v>2</v>
      </c>
      <c r="Y158" t="s">
        <v>1</v>
      </c>
      <c r="Z158" t="s">
        <v>2</v>
      </c>
      <c r="AA158" t="s">
        <v>1</v>
      </c>
      <c r="AB158" t="s">
        <v>2</v>
      </c>
      <c r="AC158" t="s">
        <v>0</v>
      </c>
      <c r="AD158" t="s">
        <v>2</v>
      </c>
      <c r="AE158" t="s">
        <v>0</v>
      </c>
      <c r="AG158">
        <v>4</v>
      </c>
      <c r="AH158">
        <v>8</v>
      </c>
      <c r="AI158" t="s">
        <v>9</v>
      </c>
      <c r="AJ158">
        <v>6</v>
      </c>
      <c r="AK158" t="s">
        <v>10</v>
      </c>
      <c r="AL158">
        <v>5</v>
      </c>
      <c r="AM158" t="s">
        <v>10</v>
      </c>
      <c r="AN158" t="s">
        <v>10</v>
      </c>
      <c r="AO158" t="s">
        <v>316</v>
      </c>
    </row>
    <row r="159" spans="1:41" x14ac:dyDescent="0.25">
      <c r="A159">
        <f>IF(C159&lt;&gt;"", COUNTA($C$2:C159), "")</f>
        <v>158</v>
      </c>
      <c r="B159">
        <v>5</v>
      </c>
      <c r="C159" t="s">
        <v>320</v>
      </c>
      <c r="D159" t="s">
        <v>321</v>
      </c>
      <c r="E159" t="s">
        <v>315</v>
      </c>
      <c r="F159" t="s">
        <v>263</v>
      </c>
      <c r="G159">
        <v>83</v>
      </c>
      <c r="H159" t="s">
        <v>0</v>
      </c>
      <c r="I159" t="s">
        <v>0</v>
      </c>
      <c r="J159" t="s">
        <v>0</v>
      </c>
      <c r="K159" t="s">
        <v>1</v>
      </c>
      <c r="L159" t="s">
        <v>1</v>
      </c>
      <c r="M159" t="s">
        <v>0</v>
      </c>
      <c r="N159" t="s">
        <v>2</v>
      </c>
      <c r="O159" t="s">
        <v>1</v>
      </c>
      <c r="P159" t="s">
        <v>0</v>
      </c>
      <c r="Q159" t="s">
        <v>2</v>
      </c>
      <c r="R159" t="s">
        <v>1</v>
      </c>
      <c r="S159" t="s">
        <v>2</v>
      </c>
      <c r="T159" t="s">
        <v>2</v>
      </c>
      <c r="U159" t="s">
        <v>2</v>
      </c>
      <c r="V159" t="s">
        <v>0</v>
      </c>
      <c r="W159" t="s">
        <v>0</v>
      </c>
      <c r="X159" t="s">
        <v>2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2</v>
      </c>
      <c r="AE159" t="s">
        <v>0</v>
      </c>
      <c r="AG159">
        <v>4.2</v>
      </c>
      <c r="AH159">
        <v>5</v>
      </c>
      <c r="AI159" t="s">
        <v>10</v>
      </c>
      <c r="AJ159">
        <v>8</v>
      </c>
      <c r="AK159" t="s">
        <v>9</v>
      </c>
      <c r="AL159">
        <v>7</v>
      </c>
      <c r="AM159" t="s">
        <v>9</v>
      </c>
      <c r="AN159" t="s">
        <v>10</v>
      </c>
      <c r="AO159" t="s">
        <v>316</v>
      </c>
    </row>
    <row r="160" spans="1:41" x14ac:dyDescent="0.25">
      <c r="A160">
        <f>IF(C160&lt;&gt;"", COUNTA($C$2:C160), "")</f>
        <v>159</v>
      </c>
      <c r="B160">
        <v>6</v>
      </c>
      <c r="C160" t="s">
        <v>322</v>
      </c>
      <c r="D160" t="s">
        <v>73</v>
      </c>
      <c r="E160" t="s">
        <v>315</v>
      </c>
      <c r="F160" t="s">
        <v>162</v>
      </c>
      <c r="G160">
        <v>45</v>
      </c>
      <c r="H160" t="s">
        <v>0</v>
      </c>
      <c r="I160" t="s">
        <v>1</v>
      </c>
      <c r="J160" t="s">
        <v>0</v>
      </c>
      <c r="K160" t="s">
        <v>1</v>
      </c>
      <c r="L160" t="s">
        <v>1</v>
      </c>
      <c r="M160" t="s">
        <v>0</v>
      </c>
      <c r="N160" t="s">
        <v>2</v>
      </c>
      <c r="O160" t="s">
        <v>8</v>
      </c>
      <c r="P160" t="s">
        <v>0</v>
      </c>
      <c r="Q160" t="s">
        <v>2</v>
      </c>
      <c r="R160" t="s">
        <v>1</v>
      </c>
      <c r="S160" t="s">
        <v>2</v>
      </c>
      <c r="T160" t="s">
        <v>2</v>
      </c>
      <c r="U160" t="s">
        <v>8</v>
      </c>
      <c r="V160" t="s">
        <v>0</v>
      </c>
      <c r="W160" t="s">
        <v>0</v>
      </c>
      <c r="X160" t="s">
        <v>2</v>
      </c>
      <c r="Y160" t="s">
        <v>0</v>
      </c>
      <c r="Z160" t="s">
        <v>2</v>
      </c>
      <c r="AA160" t="s">
        <v>0</v>
      </c>
      <c r="AB160" t="s">
        <v>0</v>
      </c>
      <c r="AC160" t="s">
        <v>0</v>
      </c>
      <c r="AD160" t="s">
        <v>1</v>
      </c>
      <c r="AE160" t="s">
        <v>0</v>
      </c>
      <c r="AG160">
        <v>3.8</v>
      </c>
      <c r="AH160">
        <v>4</v>
      </c>
      <c r="AI160" t="s">
        <v>28</v>
      </c>
      <c r="AJ160">
        <v>7</v>
      </c>
      <c r="AK160" t="s">
        <v>9</v>
      </c>
      <c r="AL160">
        <v>7</v>
      </c>
      <c r="AM160" t="s">
        <v>9</v>
      </c>
      <c r="AN160" t="s">
        <v>10</v>
      </c>
      <c r="AO160" t="s">
        <v>316</v>
      </c>
    </row>
    <row r="161" spans="1:41" x14ac:dyDescent="0.25">
      <c r="A161">
        <f>IF(C161&lt;&gt;"", COUNTA($C$2:C161), "")</f>
        <v>160</v>
      </c>
      <c r="B161">
        <v>7</v>
      </c>
      <c r="C161" t="s">
        <v>323</v>
      </c>
      <c r="D161" t="s">
        <v>147</v>
      </c>
      <c r="E161" t="s">
        <v>315</v>
      </c>
      <c r="F161" t="s">
        <v>65</v>
      </c>
      <c r="G161">
        <v>64</v>
      </c>
      <c r="H161" t="s">
        <v>0</v>
      </c>
      <c r="I161" t="s">
        <v>0</v>
      </c>
      <c r="J161" t="s">
        <v>0</v>
      </c>
      <c r="K161" t="s">
        <v>1</v>
      </c>
      <c r="L161" t="s">
        <v>2</v>
      </c>
      <c r="M161" t="s">
        <v>0</v>
      </c>
      <c r="N161" t="s">
        <v>37</v>
      </c>
      <c r="O161" t="s">
        <v>0</v>
      </c>
      <c r="P161" t="s">
        <v>0</v>
      </c>
      <c r="Q161" t="s">
        <v>2</v>
      </c>
      <c r="R161" t="s">
        <v>1</v>
      </c>
      <c r="S161" t="s">
        <v>2</v>
      </c>
      <c r="T161" t="s">
        <v>2</v>
      </c>
      <c r="U161" t="s">
        <v>0</v>
      </c>
      <c r="V161" t="s">
        <v>0</v>
      </c>
      <c r="W161" t="s">
        <v>0</v>
      </c>
      <c r="X161" t="s">
        <v>2</v>
      </c>
      <c r="Y161" t="s">
        <v>0</v>
      </c>
      <c r="Z161" t="s">
        <v>2</v>
      </c>
      <c r="AA161" t="s">
        <v>0</v>
      </c>
      <c r="AB161" t="s">
        <v>0</v>
      </c>
      <c r="AC161" t="s">
        <v>0</v>
      </c>
      <c r="AD161" t="s">
        <v>2</v>
      </c>
      <c r="AE161" t="s">
        <v>0</v>
      </c>
      <c r="AG161">
        <v>4.5999999999999996</v>
      </c>
      <c r="AH161">
        <v>7</v>
      </c>
      <c r="AI161" t="s">
        <v>9</v>
      </c>
      <c r="AJ161">
        <v>7</v>
      </c>
      <c r="AK161" t="s">
        <v>9</v>
      </c>
      <c r="AL161">
        <v>8</v>
      </c>
      <c r="AM161" t="s">
        <v>9</v>
      </c>
      <c r="AN161" t="s">
        <v>9</v>
      </c>
      <c r="AO161" t="s">
        <v>316</v>
      </c>
    </row>
    <row r="162" spans="1:41" x14ac:dyDescent="0.25">
      <c r="A162">
        <f>IF(C162&lt;&gt;"", COUNTA($C$2:C162), "")</f>
        <v>161</v>
      </c>
      <c r="B162">
        <v>8</v>
      </c>
      <c r="C162" t="s">
        <v>324</v>
      </c>
      <c r="D162" t="s">
        <v>325</v>
      </c>
      <c r="E162" t="s">
        <v>315</v>
      </c>
      <c r="F162" t="s">
        <v>67</v>
      </c>
      <c r="G162">
        <v>63</v>
      </c>
      <c r="H162" t="s">
        <v>0</v>
      </c>
      <c r="I162" t="s">
        <v>0</v>
      </c>
      <c r="J162" t="s">
        <v>0</v>
      </c>
      <c r="K162" t="s">
        <v>1</v>
      </c>
      <c r="L162" t="s">
        <v>2</v>
      </c>
      <c r="M162" t="s">
        <v>0</v>
      </c>
      <c r="N162" t="s">
        <v>1</v>
      </c>
      <c r="O162" t="s">
        <v>0</v>
      </c>
      <c r="P162" t="s">
        <v>0</v>
      </c>
      <c r="Q162" t="s">
        <v>2</v>
      </c>
      <c r="R162" t="s">
        <v>1</v>
      </c>
      <c r="S162" t="s">
        <v>2</v>
      </c>
      <c r="T162" t="s">
        <v>2</v>
      </c>
      <c r="U162" t="s">
        <v>1</v>
      </c>
      <c r="V162" t="s">
        <v>0</v>
      </c>
      <c r="W162" t="s">
        <v>2</v>
      </c>
      <c r="X162" t="s">
        <v>2</v>
      </c>
      <c r="Y162" t="s">
        <v>0</v>
      </c>
      <c r="Z162" t="s">
        <v>2</v>
      </c>
      <c r="AA162" t="s">
        <v>0</v>
      </c>
      <c r="AB162" t="s">
        <v>2</v>
      </c>
      <c r="AC162" t="s">
        <v>0</v>
      </c>
      <c r="AD162" t="s">
        <v>2</v>
      </c>
      <c r="AE162" t="s">
        <v>0</v>
      </c>
      <c r="AG162">
        <v>4.4000000000000004</v>
      </c>
      <c r="AH162">
        <v>8</v>
      </c>
      <c r="AI162" t="s">
        <v>9</v>
      </c>
      <c r="AJ162">
        <v>6</v>
      </c>
      <c r="AK162" t="s">
        <v>10</v>
      </c>
      <c r="AL162">
        <v>7</v>
      </c>
      <c r="AM162" t="s">
        <v>9</v>
      </c>
      <c r="AN162" t="s">
        <v>9</v>
      </c>
      <c r="AO162" t="s">
        <v>316</v>
      </c>
    </row>
    <row r="163" spans="1:41" x14ac:dyDescent="0.25">
      <c r="A163">
        <f>IF(C163&lt;&gt;"", COUNTA($C$2:C163), "")</f>
        <v>162</v>
      </c>
      <c r="B163">
        <v>9</v>
      </c>
      <c r="C163" t="s">
        <v>326</v>
      </c>
      <c r="D163" t="s">
        <v>46</v>
      </c>
      <c r="E163" t="s">
        <v>315</v>
      </c>
      <c r="F163" t="s">
        <v>7</v>
      </c>
      <c r="G163">
        <v>56</v>
      </c>
      <c r="H163" t="s">
        <v>0</v>
      </c>
      <c r="I163" t="s">
        <v>0</v>
      </c>
      <c r="J163" t="s">
        <v>0</v>
      </c>
      <c r="K163" t="s">
        <v>1</v>
      </c>
      <c r="L163" t="s">
        <v>2</v>
      </c>
      <c r="M163" t="s">
        <v>0</v>
      </c>
      <c r="N163" t="s">
        <v>1</v>
      </c>
      <c r="O163" t="s">
        <v>2</v>
      </c>
      <c r="P163" t="s">
        <v>0</v>
      </c>
      <c r="Q163" t="s">
        <v>2</v>
      </c>
      <c r="R163" t="s">
        <v>1</v>
      </c>
      <c r="S163" t="s">
        <v>2</v>
      </c>
      <c r="T163" t="s">
        <v>2</v>
      </c>
      <c r="U163" t="s">
        <v>2</v>
      </c>
      <c r="V163" t="s">
        <v>0</v>
      </c>
      <c r="W163" t="s">
        <v>0</v>
      </c>
      <c r="X163" t="s">
        <v>2</v>
      </c>
      <c r="Y163" t="s">
        <v>1</v>
      </c>
      <c r="Z163" t="s">
        <v>2</v>
      </c>
      <c r="AA163" t="s">
        <v>1</v>
      </c>
      <c r="AB163" t="s">
        <v>1</v>
      </c>
      <c r="AC163" t="s">
        <v>1</v>
      </c>
      <c r="AD163" t="s">
        <v>2</v>
      </c>
      <c r="AE163" t="s">
        <v>1</v>
      </c>
      <c r="AG163">
        <v>3.8</v>
      </c>
      <c r="AH163">
        <v>7</v>
      </c>
      <c r="AI163" t="s">
        <v>9</v>
      </c>
      <c r="AJ163">
        <v>8</v>
      </c>
      <c r="AK163" t="s">
        <v>9</v>
      </c>
      <c r="AL163">
        <v>3</v>
      </c>
      <c r="AM163" t="s">
        <v>28</v>
      </c>
      <c r="AN163" t="s">
        <v>10</v>
      </c>
      <c r="AO163" t="s">
        <v>316</v>
      </c>
    </row>
    <row r="164" spans="1:41" x14ac:dyDescent="0.25">
      <c r="A164">
        <f>IF(C164&lt;&gt;"", COUNTA($C$2:C164), "")</f>
        <v>163</v>
      </c>
      <c r="B164">
        <v>10</v>
      </c>
      <c r="C164" t="s">
        <v>327</v>
      </c>
      <c r="D164" t="s">
        <v>46</v>
      </c>
      <c r="E164" t="s">
        <v>132</v>
      </c>
      <c r="F164" t="s">
        <v>132</v>
      </c>
      <c r="G164">
        <v>0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  <c r="Q164" t="s">
        <v>17</v>
      </c>
      <c r="R164" t="s">
        <v>17</v>
      </c>
      <c r="S164" t="s">
        <v>17</v>
      </c>
      <c r="T164" t="s">
        <v>17</v>
      </c>
      <c r="U164" t="s">
        <v>17</v>
      </c>
      <c r="V164" t="s">
        <v>17</v>
      </c>
      <c r="W164" t="s">
        <v>17</v>
      </c>
      <c r="X164" t="s">
        <v>17</v>
      </c>
      <c r="Y164" t="s">
        <v>17</v>
      </c>
      <c r="Z164" t="s">
        <v>17</v>
      </c>
      <c r="AA164" t="s">
        <v>17</v>
      </c>
      <c r="AB164" t="s">
        <v>17</v>
      </c>
      <c r="AC164" t="s">
        <v>17</v>
      </c>
      <c r="AD164" t="s">
        <v>17</v>
      </c>
      <c r="AE164" t="s">
        <v>17</v>
      </c>
      <c r="AG164">
        <v>0</v>
      </c>
      <c r="AH164">
        <v>0</v>
      </c>
      <c r="AI164" t="s">
        <v>18</v>
      </c>
      <c r="AJ164">
        <v>0</v>
      </c>
      <c r="AK164" t="s">
        <v>18</v>
      </c>
      <c r="AL164">
        <v>0</v>
      </c>
      <c r="AM164" t="s">
        <v>18</v>
      </c>
      <c r="AN164" t="s">
        <v>18</v>
      </c>
      <c r="AO164" t="s">
        <v>316</v>
      </c>
    </row>
    <row r="165" spans="1:41" x14ac:dyDescent="0.25">
      <c r="A165">
        <f>IF(C165&lt;&gt;"", COUNTA($C$2:C165), "")</f>
        <v>164</v>
      </c>
      <c r="B165">
        <v>11</v>
      </c>
      <c r="C165" t="s">
        <v>328</v>
      </c>
      <c r="D165" t="s">
        <v>329</v>
      </c>
      <c r="E165" t="s">
        <v>315</v>
      </c>
      <c r="F165" t="s">
        <v>330</v>
      </c>
      <c r="G165">
        <v>90</v>
      </c>
      <c r="H165" t="s">
        <v>0</v>
      </c>
      <c r="I165" t="s">
        <v>0</v>
      </c>
      <c r="J165" t="s">
        <v>0</v>
      </c>
      <c r="K165" t="s">
        <v>1</v>
      </c>
      <c r="L165" t="s">
        <v>1</v>
      </c>
      <c r="M165" t="s">
        <v>0</v>
      </c>
      <c r="N165" t="s">
        <v>0</v>
      </c>
      <c r="O165" t="s">
        <v>0</v>
      </c>
      <c r="P165" t="s">
        <v>0</v>
      </c>
      <c r="Q165" t="s">
        <v>2</v>
      </c>
      <c r="R165" t="s">
        <v>1</v>
      </c>
      <c r="S165" t="s">
        <v>0</v>
      </c>
      <c r="T165" t="s">
        <v>2</v>
      </c>
      <c r="U165" t="s">
        <v>0</v>
      </c>
      <c r="V165" t="s">
        <v>0</v>
      </c>
      <c r="W165" t="s">
        <v>0</v>
      </c>
      <c r="X165" t="s">
        <v>2</v>
      </c>
      <c r="Y165" t="s">
        <v>0</v>
      </c>
      <c r="Z165" t="s">
        <v>2</v>
      </c>
      <c r="AA165" t="s">
        <v>0</v>
      </c>
      <c r="AB165" t="s">
        <v>0</v>
      </c>
      <c r="AC165" t="s">
        <v>0</v>
      </c>
      <c r="AD165" t="s">
        <v>1</v>
      </c>
      <c r="AE165" t="s">
        <v>0</v>
      </c>
      <c r="AG165">
        <v>4</v>
      </c>
      <c r="AH165">
        <v>6</v>
      </c>
      <c r="AI165" t="s">
        <v>10</v>
      </c>
      <c r="AJ165">
        <v>6</v>
      </c>
      <c r="AK165" t="s">
        <v>10</v>
      </c>
      <c r="AL165">
        <v>7</v>
      </c>
      <c r="AM165" t="s">
        <v>9</v>
      </c>
      <c r="AN165" t="s">
        <v>10</v>
      </c>
      <c r="AO165" t="s">
        <v>316</v>
      </c>
    </row>
    <row r="166" spans="1:41" x14ac:dyDescent="0.25">
      <c r="A166">
        <f>IF(C166&lt;&gt;"", COUNTA($C$2:C166), "")</f>
        <v>165</v>
      </c>
      <c r="B166">
        <v>12</v>
      </c>
      <c r="C166" t="s">
        <v>331</v>
      </c>
      <c r="D166" t="s">
        <v>210</v>
      </c>
      <c r="E166" t="s">
        <v>315</v>
      </c>
      <c r="F166" t="s">
        <v>250</v>
      </c>
      <c r="G166">
        <v>76</v>
      </c>
      <c r="H166" t="s">
        <v>0</v>
      </c>
      <c r="I166" t="s">
        <v>2</v>
      </c>
      <c r="J166" t="s">
        <v>0</v>
      </c>
      <c r="K166" t="s">
        <v>1</v>
      </c>
      <c r="L166" t="s">
        <v>2</v>
      </c>
      <c r="M166" t="s">
        <v>0</v>
      </c>
      <c r="N166" t="s">
        <v>0</v>
      </c>
      <c r="O166" t="s">
        <v>1</v>
      </c>
      <c r="P166" t="s">
        <v>0</v>
      </c>
      <c r="Q166" t="s">
        <v>2</v>
      </c>
      <c r="R166" t="s">
        <v>1</v>
      </c>
      <c r="S166" t="s">
        <v>2</v>
      </c>
      <c r="T166" t="s">
        <v>2</v>
      </c>
      <c r="U166" t="s">
        <v>2</v>
      </c>
      <c r="V166" t="s">
        <v>0</v>
      </c>
      <c r="W166" t="s">
        <v>0</v>
      </c>
      <c r="X166" t="s">
        <v>2</v>
      </c>
      <c r="Y166" t="s">
        <v>0</v>
      </c>
      <c r="Z166" t="s">
        <v>2</v>
      </c>
      <c r="AA166" t="s">
        <v>0</v>
      </c>
      <c r="AB166" t="s">
        <v>0</v>
      </c>
      <c r="AC166" t="s">
        <v>0</v>
      </c>
      <c r="AD166" t="s">
        <v>1</v>
      </c>
      <c r="AE166" t="s">
        <v>0</v>
      </c>
      <c r="AG166">
        <v>4.2</v>
      </c>
      <c r="AH166">
        <v>5</v>
      </c>
      <c r="AI166" t="s">
        <v>10</v>
      </c>
      <c r="AJ166">
        <v>8</v>
      </c>
      <c r="AK166" t="s">
        <v>9</v>
      </c>
      <c r="AL166">
        <v>7</v>
      </c>
      <c r="AM166" t="s">
        <v>9</v>
      </c>
      <c r="AN166" t="s">
        <v>10</v>
      </c>
      <c r="AO166" t="s">
        <v>316</v>
      </c>
    </row>
    <row r="167" spans="1:41" x14ac:dyDescent="0.25">
      <c r="A167">
        <f>IF(C167&lt;&gt;"", COUNTA($C$2:C167), "")</f>
        <v>166</v>
      </c>
      <c r="B167">
        <v>13</v>
      </c>
      <c r="C167" t="s">
        <v>292</v>
      </c>
      <c r="D167" t="s">
        <v>332</v>
      </c>
      <c r="E167" t="s">
        <v>315</v>
      </c>
      <c r="F167" t="s">
        <v>54</v>
      </c>
      <c r="G167">
        <v>54</v>
      </c>
      <c r="H167" t="s">
        <v>0</v>
      </c>
      <c r="I167" t="s">
        <v>0</v>
      </c>
      <c r="J167" t="s">
        <v>1</v>
      </c>
      <c r="K167" t="s">
        <v>1</v>
      </c>
      <c r="L167" t="s">
        <v>2</v>
      </c>
      <c r="M167" t="s">
        <v>0</v>
      </c>
      <c r="N167" t="s">
        <v>0</v>
      </c>
      <c r="O167" t="s">
        <v>0</v>
      </c>
      <c r="P167" t="s">
        <v>0</v>
      </c>
      <c r="Q167" t="s">
        <v>2</v>
      </c>
      <c r="R167" t="s">
        <v>2</v>
      </c>
      <c r="S167" t="s">
        <v>0</v>
      </c>
      <c r="T167" t="s">
        <v>0</v>
      </c>
      <c r="U167" t="s">
        <v>2</v>
      </c>
      <c r="V167" t="s">
        <v>0</v>
      </c>
      <c r="W167" t="s">
        <v>0</v>
      </c>
      <c r="X167" t="s">
        <v>2</v>
      </c>
      <c r="Y167" t="s">
        <v>0</v>
      </c>
      <c r="Z167" t="s">
        <v>2</v>
      </c>
      <c r="AA167" t="s">
        <v>0</v>
      </c>
      <c r="AB167" t="s">
        <v>0</v>
      </c>
      <c r="AC167" t="s">
        <v>0</v>
      </c>
      <c r="AD167" t="s">
        <v>2</v>
      </c>
      <c r="AE167" t="s">
        <v>0</v>
      </c>
      <c r="AG167">
        <v>4</v>
      </c>
      <c r="AH167">
        <v>6</v>
      </c>
      <c r="AI167" t="s">
        <v>10</v>
      </c>
      <c r="AJ167">
        <v>5</v>
      </c>
      <c r="AK167" t="s">
        <v>10</v>
      </c>
      <c r="AL167">
        <v>8</v>
      </c>
      <c r="AM167" t="s">
        <v>9</v>
      </c>
      <c r="AN167" t="s">
        <v>10</v>
      </c>
      <c r="AO167" t="s">
        <v>316</v>
      </c>
    </row>
    <row r="168" spans="1:41" x14ac:dyDescent="0.25">
      <c r="A168">
        <f>IF(C168&lt;&gt;"", COUNTA($C$2:C168), "")</f>
        <v>167</v>
      </c>
      <c r="B168">
        <v>14</v>
      </c>
      <c r="C168" t="s">
        <v>333</v>
      </c>
      <c r="D168" t="s">
        <v>196</v>
      </c>
      <c r="E168" t="s">
        <v>315</v>
      </c>
      <c r="F168" t="s">
        <v>24</v>
      </c>
      <c r="G168">
        <v>53</v>
      </c>
      <c r="H168" t="s">
        <v>0</v>
      </c>
      <c r="I168" t="s">
        <v>0</v>
      </c>
      <c r="J168" t="s">
        <v>0</v>
      </c>
      <c r="K168" t="s">
        <v>1</v>
      </c>
      <c r="L168" t="s">
        <v>2</v>
      </c>
      <c r="M168" t="s">
        <v>0</v>
      </c>
      <c r="N168" t="s">
        <v>2</v>
      </c>
      <c r="O168" t="s">
        <v>1</v>
      </c>
      <c r="P168" t="s">
        <v>0</v>
      </c>
      <c r="Q168" t="s">
        <v>2</v>
      </c>
      <c r="R168" t="s">
        <v>1</v>
      </c>
      <c r="S168" t="s">
        <v>2</v>
      </c>
      <c r="T168" t="s">
        <v>8</v>
      </c>
      <c r="U168" t="s">
        <v>1</v>
      </c>
      <c r="V168" t="s">
        <v>0</v>
      </c>
      <c r="W168" t="s">
        <v>0</v>
      </c>
      <c r="X168" t="s">
        <v>2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2</v>
      </c>
      <c r="AE168" t="s">
        <v>0</v>
      </c>
      <c r="AG168">
        <v>4</v>
      </c>
      <c r="AH168">
        <v>6</v>
      </c>
      <c r="AI168" t="s">
        <v>10</v>
      </c>
      <c r="AJ168">
        <v>6</v>
      </c>
      <c r="AK168" t="s">
        <v>10</v>
      </c>
      <c r="AL168">
        <v>7</v>
      </c>
      <c r="AM168" t="s">
        <v>9</v>
      </c>
      <c r="AN168" t="s">
        <v>10</v>
      </c>
      <c r="AO168" t="s">
        <v>316</v>
      </c>
    </row>
    <row r="169" spans="1:41" x14ac:dyDescent="0.25">
      <c r="A169">
        <f>IF(C169&lt;&gt;"", COUNTA($C$2:C169), "")</f>
        <v>168</v>
      </c>
      <c r="B169">
        <v>15</v>
      </c>
      <c r="C169" t="s">
        <v>334</v>
      </c>
      <c r="D169" t="s">
        <v>335</v>
      </c>
      <c r="E169" t="s">
        <v>315</v>
      </c>
      <c r="F169" t="s">
        <v>232</v>
      </c>
      <c r="G169">
        <v>89</v>
      </c>
      <c r="H169" t="s">
        <v>0</v>
      </c>
      <c r="I169" t="s">
        <v>0</v>
      </c>
      <c r="J169" t="s">
        <v>0</v>
      </c>
      <c r="K169" t="s">
        <v>1</v>
      </c>
      <c r="L169" t="s">
        <v>2</v>
      </c>
      <c r="M169" t="s">
        <v>0</v>
      </c>
      <c r="N169" t="s">
        <v>1</v>
      </c>
      <c r="O169" t="s">
        <v>0</v>
      </c>
      <c r="P169" t="s">
        <v>0</v>
      </c>
      <c r="Q169" t="s">
        <v>2</v>
      </c>
      <c r="R169" t="s">
        <v>1</v>
      </c>
      <c r="S169" t="s">
        <v>2</v>
      </c>
      <c r="T169" t="s">
        <v>2</v>
      </c>
      <c r="U169" t="s">
        <v>2</v>
      </c>
      <c r="V169" t="s">
        <v>0</v>
      </c>
      <c r="W169" t="s">
        <v>0</v>
      </c>
      <c r="X169" t="s">
        <v>2</v>
      </c>
      <c r="Y169" t="s">
        <v>0</v>
      </c>
      <c r="Z169" t="s">
        <v>2</v>
      </c>
      <c r="AA169" t="s">
        <v>0</v>
      </c>
      <c r="AB169" t="s">
        <v>0</v>
      </c>
      <c r="AC169" t="s">
        <v>0</v>
      </c>
      <c r="AD169" t="s">
        <v>2</v>
      </c>
      <c r="AE169" t="s">
        <v>0</v>
      </c>
      <c r="AG169">
        <v>5</v>
      </c>
      <c r="AH169">
        <v>8</v>
      </c>
      <c r="AI169" t="s">
        <v>9</v>
      </c>
      <c r="AJ169">
        <v>8</v>
      </c>
      <c r="AK169" t="s">
        <v>9</v>
      </c>
      <c r="AL169">
        <v>8</v>
      </c>
      <c r="AM169" t="s">
        <v>9</v>
      </c>
      <c r="AN169" t="s">
        <v>9</v>
      </c>
      <c r="AO169" t="s">
        <v>316</v>
      </c>
    </row>
    <row r="170" spans="1:41" x14ac:dyDescent="0.25">
      <c r="A170">
        <f>IF(C170&lt;&gt;"", COUNTA($C$2:C170), "")</f>
        <v>169</v>
      </c>
      <c r="B170">
        <v>16</v>
      </c>
      <c r="C170" t="s">
        <v>336</v>
      </c>
      <c r="D170" t="s">
        <v>337</v>
      </c>
      <c r="E170" t="s">
        <v>315</v>
      </c>
      <c r="F170" t="s">
        <v>54</v>
      </c>
      <c r="G170">
        <v>54</v>
      </c>
      <c r="H170" t="s">
        <v>0</v>
      </c>
      <c r="I170" t="s">
        <v>0</v>
      </c>
      <c r="J170" t="s">
        <v>0</v>
      </c>
      <c r="K170" t="s">
        <v>1</v>
      </c>
      <c r="L170" t="s">
        <v>1</v>
      </c>
      <c r="M170" t="s">
        <v>0</v>
      </c>
      <c r="N170" t="s">
        <v>2</v>
      </c>
      <c r="O170" t="s">
        <v>0</v>
      </c>
      <c r="P170" t="s">
        <v>0</v>
      </c>
      <c r="Q170" t="s">
        <v>2</v>
      </c>
      <c r="R170" t="s">
        <v>1</v>
      </c>
      <c r="S170" t="s">
        <v>0</v>
      </c>
      <c r="T170" t="s">
        <v>2</v>
      </c>
      <c r="U170" t="s">
        <v>8</v>
      </c>
      <c r="V170" t="s">
        <v>0</v>
      </c>
      <c r="W170" t="s">
        <v>0</v>
      </c>
      <c r="X170" t="s">
        <v>2</v>
      </c>
      <c r="Y170" t="s">
        <v>0</v>
      </c>
      <c r="Z170" t="s">
        <v>2</v>
      </c>
      <c r="AA170" t="s">
        <v>0</v>
      </c>
      <c r="AB170" t="s">
        <v>0</v>
      </c>
      <c r="AC170" t="s">
        <v>0</v>
      </c>
      <c r="AD170" t="s">
        <v>1</v>
      </c>
      <c r="AE170" t="s">
        <v>0</v>
      </c>
      <c r="AG170">
        <v>4</v>
      </c>
      <c r="AH170">
        <v>6</v>
      </c>
      <c r="AI170" t="s">
        <v>10</v>
      </c>
      <c r="AJ170">
        <v>6</v>
      </c>
      <c r="AK170" t="s">
        <v>10</v>
      </c>
      <c r="AL170">
        <v>7</v>
      </c>
      <c r="AM170" t="s">
        <v>9</v>
      </c>
      <c r="AN170" t="s">
        <v>10</v>
      </c>
      <c r="AO170" t="s">
        <v>316</v>
      </c>
    </row>
    <row r="171" spans="1:41" x14ac:dyDescent="0.25">
      <c r="A171">
        <f>IF(C171&lt;&gt;"", COUNTA($C$2:C171), "")</f>
        <v>170</v>
      </c>
      <c r="B171">
        <v>17</v>
      </c>
      <c r="C171" t="s">
        <v>338</v>
      </c>
      <c r="D171" t="s">
        <v>287</v>
      </c>
      <c r="E171" t="s">
        <v>315</v>
      </c>
      <c r="F171" t="s">
        <v>7</v>
      </c>
      <c r="G171">
        <v>56</v>
      </c>
      <c r="H171" t="s">
        <v>0</v>
      </c>
      <c r="I171" t="s">
        <v>0</v>
      </c>
      <c r="J171" t="s">
        <v>0</v>
      </c>
      <c r="K171" t="s">
        <v>1</v>
      </c>
      <c r="L171" t="s">
        <v>1</v>
      </c>
      <c r="M171" t="s">
        <v>0</v>
      </c>
      <c r="N171" t="s">
        <v>2</v>
      </c>
      <c r="O171" t="s">
        <v>0</v>
      </c>
      <c r="P171" t="s">
        <v>0</v>
      </c>
      <c r="Q171" t="s">
        <v>2</v>
      </c>
      <c r="R171" t="s">
        <v>1</v>
      </c>
      <c r="S171" t="s">
        <v>0</v>
      </c>
      <c r="T171" t="s">
        <v>2</v>
      </c>
      <c r="U171" t="s">
        <v>8</v>
      </c>
      <c r="V171" t="s">
        <v>0</v>
      </c>
      <c r="W171" t="s">
        <v>0</v>
      </c>
      <c r="X171" t="s">
        <v>2</v>
      </c>
      <c r="Y171" t="s">
        <v>0</v>
      </c>
      <c r="Z171" t="s">
        <v>2</v>
      </c>
      <c r="AA171" t="s">
        <v>0</v>
      </c>
      <c r="AB171" t="s">
        <v>0</v>
      </c>
      <c r="AC171" t="s">
        <v>0</v>
      </c>
      <c r="AD171" t="s">
        <v>1</v>
      </c>
      <c r="AE171" t="s">
        <v>0</v>
      </c>
      <c r="AG171">
        <v>4</v>
      </c>
      <c r="AH171">
        <v>6</v>
      </c>
      <c r="AI171" t="s">
        <v>10</v>
      </c>
      <c r="AJ171">
        <v>6</v>
      </c>
      <c r="AK171" t="s">
        <v>10</v>
      </c>
      <c r="AL171">
        <v>7</v>
      </c>
      <c r="AM171" t="s">
        <v>9</v>
      </c>
      <c r="AN171" t="s">
        <v>10</v>
      </c>
      <c r="AO171" t="s">
        <v>316</v>
      </c>
    </row>
    <row r="172" spans="1:41" x14ac:dyDescent="0.25">
      <c r="A172">
        <f>IF(C172&lt;&gt;"", COUNTA($C$2:C172), "")</f>
        <v>171</v>
      </c>
      <c r="B172">
        <v>18</v>
      </c>
      <c r="C172" t="s">
        <v>339</v>
      </c>
      <c r="D172" t="s">
        <v>340</v>
      </c>
      <c r="E172" t="s">
        <v>315</v>
      </c>
      <c r="F172" t="s">
        <v>341</v>
      </c>
      <c r="G172">
        <v>87</v>
      </c>
      <c r="H172" t="s">
        <v>0</v>
      </c>
      <c r="I172" t="s">
        <v>0</v>
      </c>
      <c r="J172" t="s">
        <v>0</v>
      </c>
      <c r="K172" t="s">
        <v>1</v>
      </c>
      <c r="L172" t="s">
        <v>2</v>
      </c>
      <c r="M172" t="s">
        <v>0</v>
      </c>
      <c r="N172" t="s">
        <v>2</v>
      </c>
      <c r="O172" t="s">
        <v>0</v>
      </c>
      <c r="P172" t="s">
        <v>0</v>
      </c>
      <c r="Q172" t="s">
        <v>2</v>
      </c>
      <c r="R172" t="s">
        <v>1</v>
      </c>
      <c r="S172" t="s">
        <v>2</v>
      </c>
      <c r="T172" t="s">
        <v>2</v>
      </c>
      <c r="U172" t="s">
        <v>2</v>
      </c>
      <c r="V172" t="s">
        <v>0</v>
      </c>
      <c r="W172" t="s">
        <v>0</v>
      </c>
      <c r="X172" t="s">
        <v>2</v>
      </c>
      <c r="Y172" t="s">
        <v>0</v>
      </c>
      <c r="Z172" t="s">
        <v>2</v>
      </c>
      <c r="AA172" t="s">
        <v>0</v>
      </c>
      <c r="AB172" t="s">
        <v>0</v>
      </c>
      <c r="AC172" t="s">
        <v>0</v>
      </c>
      <c r="AD172" t="s">
        <v>2</v>
      </c>
      <c r="AE172" t="s">
        <v>0</v>
      </c>
      <c r="AG172">
        <v>4.8</v>
      </c>
      <c r="AH172">
        <v>7</v>
      </c>
      <c r="AI172" t="s">
        <v>9</v>
      </c>
      <c r="AJ172">
        <v>8</v>
      </c>
      <c r="AK172" t="s">
        <v>9</v>
      </c>
      <c r="AL172">
        <v>8</v>
      </c>
      <c r="AM172" t="s">
        <v>9</v>
      </c>
      <c r="AN172" t="s">
        <v>9</v>
      </c>
      <c r="AO172" t="s">
        <v>316</v>
      </c>
    </row>
    <row r="173" spans="1:41" x14ac:dyDescent="0.25">
      <c r="A173">
        <f>IF(C173&lt;&gt;"", COUNTA($C$2:C173), "")</f>
        <v>172</v>
      </c>
      <c r="B173">
        <v>19</v>
      </c>
      <c r="C173" t="s">
        <v>342</v>
      </c>
      <c r="D173" t="s">
        <v>343</v>
      </c>
      <c r="E173" t="s">
        <v>315</v>
      </c>
      <c r="F173" t="s">
        <v>344</v>
      </c>
      <c r="G173">
        <v>73</v>
      </c>
      <c r="H173" t="s">
        <v>0</v>
      </c>
      <c r="I173" t="s">
        <v>0</v>
      </c>
      <c r="J173" t="s">
        <v>0</v>
      </c>
      <c r="K173" t="s">
        <v>1</v>
      </c>
      <c r="L173" t="s">
        <v>2</v>
      </c>
      <c r="M173" t="s">
        <v>0</v>
      </c>
      <c r="N173" t="s">
        <v>1</v>
      </c>
      <c r="O173" t="s">
        <v>0</v>
      </c>
      <c r="P173" t="s">
        <v>0</v>
      </c>
      <c r="Q173" t="s">
        <v>2</v>
      </c>
      <c r="R173" t="s">
        <v>1</v>
      </c>
      <c r="S173" t="s">
        <v>2</v>
      </c>
      <c r="T173" t="s">
        <v>2</v>
      </c>
      <c r="U173" t="s">
        <v>2</v>
      </c>
      <c r="V173" t="s">
        <v>0</v>
      </c>
      <c r="W173" t="s">
        <v>0</v>
      </c>
      <c r="X173" t="s">
        <v>2</v>
      </c>
      <c r="Y173" t="s">
        <v>0</v>
      </c>
      <c r="Z173" t="s">
        <v>2</v>
      </c>
      <c r="AA173" t="s">
        <v>0</v>
      </c>
      <c r="AB173" t="s">
        <v>0</v>
      </c>
      <c r="AC173" t="s">
        <v>0</v>
      </c>
      <c r="AD173" t="s">
        <v>2</v>
      </c>
      <c r="AE173" t="s">
        <v>0</v>
      </c>
      <c r="AG173">
        <v>5</v>
      </c>
      <c r="AH173">
        <v>8</v>
      </c>
      <c r="AI173" t="s">
        <v>9</v>
      </c>
      <c r="AJ173">
        <v>8</v>
      </c>
      <c r="AK173" t="s">
        <v>9</v>
      </c>
      <c r="AL173">
        <v>8</v>
      </c>
      <c r="AM173" t="s">
        <v>9</v>
      </c>
      <c r="AN173" t="s">
        <v>9</v>
      </c>
      <c r="AO173" t="s">
        <v>316</v>
      </c>
    </row>
    <row r="174" spans="1:41" x14ac:dyDescent="0.25">
      <c r="A174">
        <f>IF(C174&lt;&gt;"", COUNTA($C$2:C174), "")</f>
        <v>173</v>
      </c>
      <c r="B174">
        <v>20</v>
      </c>
      <c r="C174" t="s">
        <v>345</v>
      </c>
      <c r="D174" t="s">
        <v>184</v>
      </c>
      <c r="E174" t="s">
        <v>315</v>
      </c>
      <c r="F174" t="s">
        <v>14</v>
      </c>
      <c r="G174">
        <v>55</v>
      </c>
      <c r="H174" t="s">
        <v>0</v>
      </c>
      <c r="I174" t="s">
        <v>0</v>
      </c>
      <c r="J174" t="s">
        <v>0</v>
      </c>
      <c r="K174" t="s">
        <v>1</v>
      </c>
      <c r="L174" t="s">
        <v>2</v>
      </c>
      <c r="M174" t="s">
        <v>0</v>
      </c>
      <c r="N174" t="s">
        <v>2</v>
      </c>
      <c r="O174" t="s">
        <v>1</v>
      </c>
      <c r="P174" t="s">
        <v>0</v>
      </c>
      <c r="Q174" t="s">
        <v>2</v>
      </c>
      <c r="R174" t="s">
        <v>1</v>
      </c>
      <c r="S174" t="s">
        <v>2</v>
      </c>
      <c r="T174" t="s">
        <v>2</v>
      </c>
      <c r="U174" t="s">
        <v>2</v>
      </c>
      <c r="V174" t="s">
        <v>0</v>
      </c>
      <c r="W174" t="s">
        <v>0</v>
      </c>
      <c r="X174" t="s">
        <v>2</v>
      </c>
      <c r="Y174" t="s">
        <v>0</v>
      </c>
      <c r="Z174" t="s">
        <v>2</v>
      </c>
      <c r="AA174" t="s">
        <v>0</v>
      </c>
      <c r="AB174" t="s">
        <v>0</v>
      </c>
      <c r="AC174" t="s">
        <v>0</v>
      </c>
      <c r="AD174" t="s">
        <v>8</v>
      </c>
      <c r="AE174" t="s">
        <v>0</v>
      </c>
      <c r="AG174">
        <v>4.4000000000000004</v>
      </c>
      <c r="AH174">
        <v>6</v>
      </c>
      <c r="AI174" t="s">
        <v>10</v>
      </c>
      <c r="AJ174">
        <v>8</v>
      </c>
      <c r="AK174" t="s">
        <v>9</v>
      </c>
      <c r="AL174">
        <v>7</v>
      </c>
      <c r="AM174" t="s">
        <v>9</v>
      </c>
      <c r="AN174" t="s">
        <v>9</v>
      </c>
      <c r="AO174" t="s">
        <v>316</v>
      </c>
    </row>
    <row r="175" spans="1:41" x14ac:dyDescent="0.25">
      <c r="A175">
        <f>IF(C175&lt;&gt;"", COUNTA($C$2:C175), "")</f>
        <v>174</v>
      </c>
      <c r="B175">
        <v>21</v>
      </c>
      <c r="C175" t="s">
        <v>346</v>
      </c>
      <c r="D175" t="s">
        <v>234</v>
      </c>
      <c r="E175" t="s">
        <v>315</v>
      </c>
      <c r="F175" t="s">
        <v>7</v>
      </c>
      <c r="G175">
        <v>56</v>
      </c>
      <c r="H175" t="s">
        <v>0</v>
      </c>
      <c r="I175" t="s">
        <v>0</v>
      </c>
      <c r="J175" t="s">
        <v>0</v>
      </c>
      <c r="K175" t="s">
        <v>1</v>
      </c>
      <c r="L175" t="s">
        <v>1</v>
      </c>
      <c r="M175" t="s">
        <v>0</v>
      </c>
      <c r="N175" t="s">
        <v>2</v>
      </c>
      <c r="O175" t="s">
        <v>0</v>
      </c>
      <c r="P175" t="s">
        <v>0</v>
      </c>
      <c r="Q175" t="s">
        <v>2</v>
      </c>
      <c r="R175" t="s">
        <v>1</v>
      </c>
      <c r="S175" t="s">
        <v>2</v>
      </c>
      <c r="T175" t="s">
        <v>2</v>
      </c>
      <c r="U175" t="s">
        <v>8</v>
      </c>
      <c r="V175" t="s">
        <v>0</v>
      </c>
      <c r="W175" t="s">
        <v>0</v>
      </c>
      <c r="X175" t="s">
        <v>2</v>
      </c>
      <c r="Y175" t="s">
        <v>0</v>
      </c>
      <c r="Z175" t="s">
        <v>2</v>
      </c>
      <c r="AA175" t="s">
        <v>0</v>
      </c>
      <c r="AB175" t="s">
        <v>0</v>
      </c>
      <c r="AC175" t="s">
        <v>0</v>
      </c>
      <c r="AD175" t="s">
        <v>1</v>
      </c>
      <c r="AE175" t="s">
        <v>0</v>
      </c>
      <c r="AG175">
        <v>4.2</v>
      </c>
      <c r="AH175">
        <v>6</v>
      </c>
      <c r="AI175" t="s">
        <v>10</v>
      </c>
      <c r="AJ175">
        <v>7</v>
      </c>
      <c r="AK175" t="s">
        <v>9</v>
      </c>
      <c r="AL175">
        <v>7</v>
      </c>
      <c r="AM175" t="s">
        <v>9</v>
      </c>
      <c r="AN175" t="s">
        <v>10</v>
      </c>
      <c r="AO175" t="s">
        <v>316</v>
      </c>
    </row>
    <row r="176" spans="1:41" x14ac:dyDescent="0.25">
      <c r="A176">
        <f>IF(C176&lt;&gt;"", COUNTA($C$2:C176), "")</f>
        <v>175</v>
      </c>
      <c r="B176">
        <v>22</v>
      </c>
      <c r="C176" t="s">
        <v>347</v>
      </c>
      <c r="D176" t="s">
        <v>147</v>
      </c>
      <c r="E176" t="s">
        <v>315</v>
      </c>
      <c r="F176" t="s">
        <v>224</v>
      </c>
      <c r="G176">
        <v>77</v>
      </c>
      <c r="H176" t="s">
        <v>0</v>
      </c>
      <c r="I176" t="s">
        <v>0</v>
      </c>
      <c r="J176" t="s">
        <v>1</v>
      </c>
      <c r="K176" t="s">
        <v>1</v>
      </c>
      <c r="L176" t="s">
        <v>0</v>
      </c>
      <c r="M176" t="s">
        <v>77</v>
      </c>
      <c r="N176" t="s">
        <v>0</v>
      </c>
      <c r="O176" t="s">
        <v>1</v>
      </c>
      <c r="P176" t="s">
        <v>0</v>
      </c>
      <c r="Q176" t="s">
        <v>2</v>
      </c>
      <c r="R176" t="s">
        <v>1</v>
      </c>
      <c r="S176" t="s">
        <v>2</v>
      </c>
      <c r="T176" t="s">
        <v>2</v>
      </c>
      <c r="U176" t="s">
        <v>0</v>
      </c>
      <c r="V176" t="s">
        <v>0</v>
      </c>
      <c r="W176" t="s">
        <v>0</v>
      </c>
      <c r="X176" t="s">
        <v>2</v>
      </c>
      <c r="Y176" t="s">
        <v>0</v>
      </c>
      <c r="Z176" t="s">
        <v>2</v>
      </c>
      <c r="AA176" t="s">
        <v>0</v>
      </c>
      <c r="AB176" t="s">
        <v>0</v>
      </c>
      <c r="AC176" t="s">
        <v>0</v>
      </c>
      <c r="AD176" t="s">
        <v>2</v>
      </c>
      <c r="AE176" t="s">
        <v>0</v>
      </c>
      <c r="AG176">
        <v>3.8</v>
      </c>
      <c r="AH176">
        <v>3</v>
      </c>
      <c r="AI176" t="s">
        <v>28</v>
      </c>
      <c r="AJ176">
        <v>7</v>
      </c>
      <c r="AK176" t="s">
        <v>9</v>
      </c>
      <c r="AL176">
        <v>8</v>
      </c>
      <c r="AM176" t="s">
        <v>9</v>
      </c>
      <c r="AN176" t="s">
        <v>10</v>
      </c>
      <c r="AO176" t="s">
        <v>316</v>
      </c>
    </row>
    <row r="177" spans="1:41" x14ac:dyDescent="0.25">
      <c r="A177">
        <f>IF(C177&lt;&gt;"", COUNTA($C$2:C177), "")</f>
        <v>176</v>
      </c>
      <c r="B177">
        <v>23</v>
      </c>
      <c r="C177" t="s">
        <v>348</v>
      </c>
      <c r="D177" t="s">
        <v>349</v>
      </c>
      <c r="E177" t="s">
        <v>315</v>
      </c>
      <c r="F177" t="s">
        <v>82</v>
      </c>
      <c r="G177">
        <v>57</v>
      </c>
      <c r="H177" t="s">
        <v>0</v>
      </c>
      <c r="I177" t="s">
        <v>0</v>
      </c>
      <c r="J177" t="s">
        <v>0</v>
      </c>
      <c r="K177" t="s">
        <v>1</v>
      </c>
      <c r="L177" t="s">
        <v>2</v>
      </c>
      <c r="M177" t="s">
        <v>0</v>
      </c>
      <c r="N177" t="s">
        <v>1</v>
      </c>
      <c r="O177" t="s">
        <v>0</v>
      </c>
      <c r="P177" t="s">
        <v>0</v>
      </c>
      <c r="Q177" t="s">
        <v>2</v>
      </c>
      <c r="R177" t="s">
        <v>1</v>
      </c>
      <c r="S177" t="s">
        <v>2</v>
      </c>
      <c r="T177" t="s">
        <v>2</v>
      </c>
      <c r="U177" t="s">
        <v>2</v>
      </c>
      <c r="V177" t="s">
        <v>0</v>
      </c>
      <c r="W177" t="s">
        <v>0</v>
      </c>
      <c r="X177" t="s">
        <v>2</v>
      </c>
      <c r="Y177" t="s">
        <v>0</v>
      </c>
      <c r="Z177" t="s">
        <v>2</v>
      </c>
      <c r="AA177" t="s">
        <v>0</v>
      </c>
      <c r="AB177" t="s">
        <v>0</v>
      </c>
      <c r="AC177" t="s">
        <v>0</v>
      </c>
      <c r="AD177" t="s">
        <v>2</v>
      </c>
      <c r="AE177" t="s">
        <v>0</v>
      </c>
      <c r="AG177">
        <v>5</v>
      </c>
      <c r="AH177">
        <v>8</v>
      </c>
      <c r="AI177" t="s">
        <v>9</v>
      </c>
      <c r="AJ177">
        <v>8</v>
      </c>
      <c r="AK177" t="s">
        <v>9</v>
      </c>
      <c r="AL177">
        <v>8</v>
      </c>
      <c r="AM177" t="s">
        <v>9</v>
      </c>
      <c r="AN177" t="s">
        <v>9</v>
      </c>
      <c r="AO177" t="s">
        <v>316</v>
      </c>
    </row>
    <row r="178" spans="1:41" x14ac:dyDescent="0.25">
      <c r="A178">
        <f>IF(C178&lt;&gt;"", COUNTA($C$2:C178), "")</f>
        <v>177</v>
      </c>
      <c r="B178">
        <v>24</v>
      </c>
      <c r="C178" t="s">
        <v>350</v>
      </c>
      <c r="D178" t="s">
        <v>351</v>
      </c>
      <c r="E178" t="s">
        <v>315</v>
      </c>
      <c r="F178" t="s">
        <v>224</v>
      </c>
      <c r="G178">
        <v>77</v>
      </c>
      <c r="H178" t="s">
        <v>0</v>
      </c>
      <c r="I178" t="s">
        <v>0</v>
      </c>
      <c r="J178" t="s">
        <v>0</v>
      </c>
      <c r="K178" t="s">
        <v>1</v>
      </c>
      <c r="L178" t="s">
        <v>2</v>
      </c>
      <c r="M178" t="s">
        <v>0</v>
      </c>
      <c r="N178" t="s">
        <v>2</v>
      </c>
      <c r="O178" t="s">
        <v>1</v>
      </c>
      <c r="P178" t="s">
        <v>0</v>
      </c>
      <c r="Q178" t="s">
        <v>2</v>
      </c>
      <c r="R178" t="s">
        <v>1</v>
      </c>
      <c r="S178" t="s">
        <v>2</v>
      </c>
      <c r="T178" t="s">
        <v>2</v>
      </c>
      <c r="U178" t="s">
        <v>0</v>
      </c>
      <c r="V178" t="s">
        <v>0</v>
      </c>
      <c r="W178" t="s">
        <v>0</v>
      </c>
      <c r="X178" t="s">
        <v>2</v>
      </c>
      <c r="Y178" t="s">
        <v>0</v>
      </c>
      <c r="Z178" t="s">
        <v>2</v>
      </c>
      <c r="AA178" t="s">
        <v>0</v>
      </c>
      <c r="AB178" t="s">
        <v>0</v>
      </c>
      <c r="AC178" t="s">
        <v>0</v>
      </c>
      <c r="AD178" t="s">
        <v>2</v>
      </c>
      <c r="AE178" t="s">
        <v>0</v>
      </c>
      <c r="AG178">
        <v>4.4000000000000004</v>
      </c>
      <c r="AH178">
        <v>6</v>
      </c>
      <c r="AI178" t="s">
        <v>10</v>
      </c>
      <c r="AJ178">
        <v>7</v>
      </c>
      <c r="AK178" t="s">
        <v>9</v>
      </c>
      <c r="AL178">
        <v>8</v>
      </c>
      <c r="AM178" t="s">
        <v>9</v>
      </c>
      <c r="AN178" t="s">
        <v>9</v>
      </c>
      <c r="AO178" t="s">
        <v>316</v>
      </c>
    </row>
    <row r="179" spans="1:41" x14ac:dyDescent="0.25">
      <c r="A179">
        <f>IF(C179&lt;&gt;"", COUNTA($C$2:C179), "")</f>
        <v>178</v>
      </c>
      <c r="B179">
        <v>25</v>
      </c>
      <c r="C179" t="s">
        <v>352</v>
      </c>
      <c r="D179" t="s">
        <v>287</v>
      </c>
      <c r="E179" t="s">
        <v>315</v>
      </c>
      <c r="F179" t="s">
        <v>353</v>
      </c>
      <c r="G179">
        <v>85</v>
      </c>
      <c r="H179" t="s">
        <v>0</v>
      </c>
      <c r="I179" t="s">
        <v>0</v>
      </c>
      <c r="J179" t="s">
        <v>0</v>
      </c>
      <c r="K179" t="s">
        <v>1</v>
      </c>
      <c r="L179" t="s">
        <v>2</v>
      </c>
      <c r="M179" t="s">
        <v>0</v>
      </c>
      <c r="N179" t="s">
        <v>1</v>
      </c>
      <c r="O179" t="s">
        <v>0</v>
      </c>
      <c r="P179" t="s">
        <v>0</v>
      </c>
      <c r="Q179" t="s">
        <v>2</v>
      </c>
      <c r="R179" t="s">
        <v>1</v>
      </c>
      <c r="S179" t="s">
        <v>2</v>
      </c>
      <c r="T179" t="s">
        <v>2</v>
      </c>
      <c r="U179" t="s">
        <v>2</v>
      </c>
      <c r="V179" t="s">
        <v>0</v>
      </c>
      <c r="W179" t="s">
        <v>0</v>
      </c>
      <c r="X179" t="s">
        <v>2</v>
      </c>
      <c r="Y179" t="s">
        <v>0</v>
      </c>
      <c r="Z179" t="s">
        <v>2</v>
      </c>
      <c r="AA179" t="s">
        <v>0</v>
      </c>
      <c r="AB179" t="s">
        <v>0</v>
      </c>
      <c r="AC179" t="s">
        <v>0</v>
      </c>
      <c r="AD179" t="s">
        <v>2</v>
      </c>
      <c r="AE179" t="s">
        <v>0</v>
      </c>
      <c r="AG179">
        <v>5</v>
      </c>
      <c r="AH179">
        <v>8</v>
      </c>
      <c r="AI179" t="s">
        <v>9</v>
      </c>
      <c r="AJ179">
        <v>8</v>
      </c>
      <c r="AK179" t="s">
        <v>9</v>
      </c>
      <c r="AL179">
        <v>8</v>
      </c>
      <c r="AM179" t="s">
        <v>9</v>
      </c>
      <c r="AN179" t="s">
        <v>9</v>
      </c>
      <c r="AO179" t="s">
        <v>316</v>
      </c>
    </row>
    <row r="180" spans="1:41" x14ac:dyDescent="0.25">
      <c r="A180">
        <f>IF(C180&lt;&gt;"", COUNTA($C$2:C180), "")</f>
        <v>179</v>
      </c>
      <c r="B180">
        <v>26</v>
      </c>
      <c r="C180" t="s">
        <v>354</v>
      </c>
      <c r="D180" t="s">
        <v>355</v>
      </c>
      <c r="E180" t="s">
        <v>315</v>
      </c>
      <c r="F180" t="s">
        <v>21</v>
      </c>
      <c r="G180">
        <v>59</v>
      </c>
      <c r="H180" t="s">
        <v>0</v>
      </c>
      <c r="I180" t="s">
        <v>0</v>
      </c>
      <c r="J180" t="s">
        <v>0</v>
      </c>
      <c r="K180" t="s">
        <v>1</v>
      </c>
      <c r="L180" t="s">
        <v>2</v>
      </c>
      <c r="M180" t="s">
        <v>0</v>
      </c>
      <c r="N180" t="s">
        <v>1</v>
      </c>
      <c r="O180" t="s">
        <v>0</v>
      </c>
      <c r="P180" t="s">
        <v>0</v>
      </c>
      <c r="Q180" t="s">
        <v>2</v>
      </c>
      <c r="R180" t="s">
        <v>1</v>
      </c>
      <c r="S180" t="s">
        <v>2</v>
      </c>
      <c r="T180" t="s">
        <v>1</v>
      </c>
      <c r="U180" t="s">
        <v>2</v>
      </c>
      <c r="V180" t="s">
        <v>1</v>
      </c>
      <c r="W180" t="s">
        <v>0</v>
      </c>
      <c r="X180" t="s">
        <v>2</v>
      </c>
      <c r="Y180" t="s">
        <v>0</v>
      </c>
      <c r="Z180" t="s">
        <v>2</v>
      </c>
      <c r="AA180" t="s">
        <v>0</v>
      </c>
      <c r="AB180" t="s">
        <v>0</v>
      </c>
      <c r="AC180" t="s">
        <v>0</v>
      </c>
      <c r="AD180" t="s">
        <v>2</v>
      </c>
      <c r="AE180" t="s">
        <v>0</v>
      </c>
      <c r="AG180">
        <v>4.5999999999999996</v>
      </c>
      <c r="AH180">
        <v>8</v>
      </c>
      <c r="AI180" t="s">
        <v>9</v>
      </c>
      <c r="AJ180">
        <v>6</v>
      </c>
      <c r="AK180" t="s">
        <v>10</v>
      </c>
      <c r="AL180">
        <v>8</v>
      </c>
      <c r="AM180" t="s">
        <v>9</v>
      </c>
      <c r="AN180" t="s">
        <v>9</v>
      </c>
      <c r="AO180" t="s">
        <v>316</v>
      </c>
    </row>
    <row r="181" spans="1:41" x14ac:dyDescent="0.25">
      <c r="A181">
        <f>IF(C181&lt;&gt;"", COUNTA($C$2:C181), "")</f>
        <v>180</v>
      </c>
      <c r="B181">
        <v>27</v>
      </c>
      <c r="C181" t="s">
        <v>356</v>
      </c>
      <c r="D181" t="s">
        <v>357</v>
      </c>
      <c r="E181" t="s">
        <v>315</v>
      </c>
      <c r="F181" t="s">
        <v>250</v>
      </c>
      <c r="G181">
        <v>76</v>
      </c>
      <c r="H181" t="s">
        <v>0</v>
      </c>
      <c r="I181" t="s">
        <v>0</v>
      </c>
      <c r="J181" t="s">
        <v>0</v>
      </c>
      <c r="K181" t="s">
        <v>1</v>
      </c>
      <c r="L181" t="s">
        <v>2</v>
      </c>
      <c r="M181" t="s">
        <v>0</v>
      </c>
      <c r="N181" t="s">
        <v>0</v>
      </c>
      <c r="O181" t="s">
        <v>1</v>
      </c>
      <c r="P181" t="s">
        <v>0</v>
      </c>
      <c r="Q181" t="s">
        <v>2</v>
      </c>
      <c r="R181" t="s">
        <v>1</v>
      </c>
      <c r="S181" t="s">
        <v>2</v>
      </c>
      <c r="T181" t="s">
        <v>2</v>
      </c>
      <c r="U181" t="s">
        <v>2</v>
      </c>
      <c r="V181" t="s">
        <v>0</v>
      </c>
      <c r="W181" t="s">
        <v>0</v>
      </c>
      <c r="X181" t="s">
        <v>2</v>
      </c>
      <c r="Y181" t="s">
        <v>0</v>
      </c>
      <c r="Z181" t="s">
        <v>2</v>
      </c>
      <c r="AA181" t="s">
        <v>0</v>
      </c>
      <c r="AB181" t="s">
        <v>0</v>
      </c>
      <c r="AC181" t="s">
        <v>0</v>
      </c>
      <c r="AD181" t="s">
        <v>1</v>
      </c>
      <c r="AE181" t="s">
        <v>0</v>
      </c>
      <c r="AG181">
        <v>4.4000000000000004</v>
      </c>
      <c r="AH181">
        <v>6</v>
      </c>
      <c r="AI181" t="s">
        <v>10</v>
      </c>
      <c r="AJ181">
        <v>8</v>
      </c>
      <c r="AK181" t="s">
        <v>9</v>
      </c>
      <c r="AL181">
        <v>7</v>
      </c>
      <c r="AM181" t="s">
        <v>9</v>
      </c>
      <c r="AN181" t="s">
        <v>9</v>
      </c>
      <c r="AO181" t="s">
        <v>316</v>
      </c>
    </row>
    <row r="182" spans="1:41" x14ac:dyDescent="0.25">
      <c r="A182">
        <f>IF(C182&lt;&gt;"", COUNTA($C$2:C182), "")</f>
        <v>181</v>
      </c>
      <c r="B182">
        <v>28</v>
      </c>
      <c r="C182" t="s">
        <v>358</v>
      </c>
      <c r="D182" t="s">
        <v>117</v>
      </c>
      <c r="E182" t="s">
        <v>315</v>
      </c>
      <c r="F182" t="s">
        <v>224</v>
      </c>
      <c r="G182">
        <v>77</v>
      </c>
      <c r="H182" t="s">
        <v>0</v>
      </c>
      <c r="I182" t="s">
        <v>0</v>
      </c>
      <c r="J182" t="s">
        <v>0</v>
      </c>
      <c r="K182" t="s">
        <v>37</v>
      </c>
      <c r="L182" t="s">
        <v>1</v>
      </c>
      <c r="M182" t="s">
        <v>0</v>
      </c>
      <c r="N182" t="s">
        <v>2</v>
      </c>
      <c r="O182" t="s">
        <v>1</v>
      </c>
      <c r="P182" t="s">
        <v>0</v>
      </c>
      <c r="Q182" t="s">
        <v>2</v>
      </c>
      <c r="R182" t="s">
        <v>0</v>
      </c>
      <c r="S182" t="s">
        <v>2</v>
      </c>
      <c r="T182" t="s">
        <v>8</v>
      </c>
      <c r="U182" t="s">
        <v>1</v>
      </c>
      <c r="V182" t="s">
        <v>0</v>
      </c>
      <c r="W182" t="s">
        <v>0</v>
      </c>
      <c r="X182" t="s">
        <v>2</v>
      </c>
      <c r="Y182" t="s">
        <v>0</v>
      </c>
      <c r="Z182" t="s">
        <v>2</v>
      </c>
      <c r="AA182" t="s">
        <v>0</v>
      </c>
      <c r="AB182" t="s">
        <v>0</v>
      </c>
      <c r="AC182" t="s">
        <v>0</v>
      </c>
      <c r="AD182" t="s">
        <v>2</v>
      </c>
      <c r="AE182" t="s">
        <v>0</v>
      </c>
      <c r="AG182">
        <v>3.5</v>
      </c>
      <c r="AH182">
        <v>4</v>
      </c>
      <c r="AI182" t="s">
        <v>28</v>
      </c>
      <c r="AJ182">
        <v>5</v>
      </c>
      <c r="AK182" t="s">
        <v>10</v>
      </c>
      <c r="AL182">
        <v>8</v>
      </c>
      <c r="AM182" t="s">
        <v>9</v>
      </c>
      <c r="AN182" t="s">
        <v>28</v>
      </c>
      <c r="AO182" t="s">
        <v>316</v>
      </c>
    </row>
    <row r="183" spans="1:41" x14ac:dyDescent="0.25">
      <c r="A183">
        <f>IF(C183&lt;&gt;"", COUNTA($C$2:C183), "")</f>
        <v>182</v>
      </c>
      <c r="B183">
        <v>29</v>
      </c>
      <c r="C183" t="s">
        <v>359</v>
      </c>
      <c r="D183" t="s">
        <v>360</v>
      </c>
      <c r="E183" t="s">
        <v>315</v>
      </c>
      <c r="F183" t="s">
        <v>361</v>
      </c>
      <c r="G183">
        <v>72</v>
      </c>
      <c r="H183" t="s">
        <v>0</v>
      </c>
      <c r="I183" t="s">
        <v>0</v>
      </c>
      <c r="J183" t="s">
        <v>0</v>
      </c>
      <c r="K183" t="s">
        <v>1</v>
      </c>
      <c r="L183" t="s">
        <v>2</v>
      </c>
      <c r="M183" t="s">
        <v>0</v>
      </c>
      <c r="N183" t="s">
        <v>1</v>
      </c>
      <c r="O183" t="s">
        <v>2</v>
      </c>
      <c r="P183" t="s">
        <v>0</v>
      </c>
      <c r="Q183" t="s">
        <v>0</v>
      </c>
      <c r="R183" t="s">
        <v>2</v>
      </c>
      <c r="S183" t="s">
        <v>0</v>
      </c>
      <c r="T183" t="s">
        <v>2</v>
      </c>
      <c r="U183" t="s">
        <v>1</v>
      </c>
      <c r="V183" t="s">
        <v>0</v>
      </c>
      <c r="W183" t="s">
        <v>0</v>
      </c>
      <c r="X183" t="s">
        <v>1</v>
      </c>
      <c r="Y183" t="s">
        <v>0</v>
      </c>
      <c r="Z183" t="s">
        <v>2</v>
      </c>
      <c r="AA183" t="s">
        <v>0</v>
      </c>
      <c r="AB183" t="s">
        <v>2</v>
      </c>
      <c r="AC183" t="s">
        <v>0</v>
      </c>
      <c r="AD183" t="s">
        <v>2</v>
      </c>
      <c r="AE183" t="s">
        <v>1</v>
      </c>
      <c r="AG183">
        <v>3.3</v>
      </c>
      <c r="AH183">
        <v>7</v>
      </c>
      <c r="AI183" t="s">
        <v>9</v>
      </c>
      <c r="AJ183">
        <v>4</v>
      </c>
      <c r="AK183" t="s">
        <v>28</v>
      </c>
      <c r="AL183">
        <v>5</v>
      </c>
      <c r="AM183" t="s">
        <v>10</v>
      </c>
      <c r="AN183" t="s">
        <v>28</v>
      </c>
      <c r="AO183" t="s">
        <v>316</v>
      </c>
    </row>
    <row r="184" spans="1:41" x14ac:dyDescent="0.25">
      <c r="A184">
        <f>IF(C184&lt;&gt;"", COUNTA($C$2:C184), "")</f>
        <v>183</v>
      </c>
      <c r="B184">
        <v>30</v>
      </c>
      <c r="C184" t="s">
        <v>362</v>
      </c>
      <c r="D184" t="s">
        <v>363</v>
      </c>
      <c r="E184" t="s">
        <v>315</v>
      </c>
      <c r="F184" t="s">
        <v>54</v>
      </c>
      <c r="G184">
        <v>54</v>
      </c>
      <c r="H184" t="s">
        <v>0</v>
      </c>
      <c r="I184" t="s">
        <v>0</v>
      </c>
      <c r="J184" t="s">
        <v>0</v>
      </c>
      <c r="K184" t="s">
        <v>1</v>
      </c>
      <c r="L184" t="s">
        <v>1</v>
      </c>
      <c r="M184" t="s">
        <v>0</v>
      </c>
      <c r="N184" t="s">
        <v>2</v>
      </c>
      <c r="O184" t="s">
        <v>0</v>
      </c>
      <c r="P184" t="s">
        <v>0</v>
      </c>
      <c r="Q184" t="s">
        <v>2</v>
      </c>
      <c r="R184" t="s">
        <v>1</v>
      </c>
      <c r="S184" t="s">
        <v>2</v>
      </c>
      <c r="T184" t="s">
        <v>0</v>
      </c>
      <c r="U184" t="s">
        <v>0</v>
      </c>
      <c r="V184" t="s">
        <v>0</v>
      </c>
      <c r="W184" t="s">
        <v>0</v>
      </c>
      <c r="X184" t="s">
        <v>2</v>
      </c>
      <c r="Y184" t="s">
        <v>37</v>
      </c>
      <c r="Z184" t="s">
        <v>2</v>
      </c>
      <c r="AA184" t="s">
        <v>0</v>
      </c>
      <c r="AB184" t="s">
        <v>0</v>
      </c>
      <c r="AC184" t="s">
        <v>0</v>
      </c>
      <c r="AD184" t="s">
        <v>2</v>
      </c>
      <c r="AE184" t="s">
        <v>0</v>
      </c>
      <c r="AG184">
        <v>4</v>
      </c>
      <c r="AH184">
        <v>6</v>
      </c>
      <c r="AI184" t="s">
        <v>10</v>
      </c>
      <c r="AJ184">
        <v>6</v>
      </c>
      <c r="AK184" t="s">
        <v>10</v>
      </c>
      <c r="AL184">
        <v>7</v>
      </c>
      <c r="AM184" t="s">
        <v>9</v>
      </c>
      <c r="AN184" t="s">
        <v>10</v>
      </c>
      <c r="AO184" t="s">
        <v>316</v>
      </c>
    </row>
    <row r="185" spans="1:41" x14ac:dyDescent="0.25">
      <c r="A185">
        <f>IF(C185&lt;&gt;"", COUNTA($C$2:C185), "")</f>
        <v>184</v>
      </c>
      <c r="B185">
        <v>31</v>
      </c>
      <c r="C185" t="s">
        <v>364</v>
      </c>
      <c r="D185" t="s">
        <v>117</v>
      </c>
      <c r="E185" t="s">
        <v>315</v>
      </c>
      <c r="F185" t="s">
        <v>365</v>
      </c>
      <c r="G185">
        <v>74</v>
      </c>
      <c r="H185" t="s">
        <v>0</v>
      </c>
      <c r="I185" t="s">
        <v>0</v>
      </c>
      <c r="J185" t="s">
        <v>0</v>
      </c>
      <c r="K185" t="s">
        <v>1</v>
      </c>
      <c r="L185" t="s">
        <v>2</v>
      </c>
      <c r="M185" t="s">
        <v>0</v>
      </c>
      <c r="N185" t="s">
        <v>0</v>
      </c>
      <c r="O185" t="s">
        <v>1</v>
      </c>
      <c r="P185" t="s">
        <v>0</v>
      </c>
      <c r="Q185" t="s">
        <v>2</v>
      </c>
      <c r="R185" t="s">
        <v>1</v>
      </c>
      <c r="S185" t="s">
        <v>2</v>
      </c>
      <c r="T185" t="s">
        <v>2</v>
      </c>
      <c r="U185" t="s">
        <v>0</v>
      </c>
      <c r="V185" t="s">
        <v>0</v>
      </c>
      <c r="W185" t="s">
        <v>0</v>
      </c>
      <c r="X185" t="s">
        <v>2</v>
      </c>
      <c r="Y185" t="s">
        <v>0</v>
      </c>
      <c r="Z185" t="s">
        <v>2</v>
      </c>
      <c r="AA185" t="s">
        <v>0</v>
      </c>
      <c r="AB185" t="s">
        <v>0</v>
      </c>
      <c r="AC185" t="s">
        <v>0</v>
      </c>
      <c r="AD185" t="s">
        <v>1</v>
      </c>
      <c r="AE185" t="s">
        <v>0</v>
      </c>
      <c r="AG185">
        <v>4.2</v>
      </c>
      <c r="AH185">
        <v>6</v>
      </c>
      <c r="AI185" t="s">
        <v>10</v>
      </c>
      <c r="AJ185">
        <v>7</v>
      </c>
      <c r="AK185" t="s">
        <v>9</v>
      </c>
      <c r="AL185">
        <v>7</v>
      </c>
      <c r="AM185" t="s">
        <v>9</v>
      </c>
      <c r="AN185" t="s">
        <v>10</v>
      </c>
      <c r="AO185" t="s">
        <v>316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Datos_Modelados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henao sanchez</cp:lastModifiedBy>
  <dcterms:created xsi:type="dcterms:W3CDTF">2026-06-01T12:41:46Z</dcterms:created>
  <dcterms:modified xsi:type="dcterms:W3CDTF">2026-06-02T23:29:28Z</dcterms:modified>
</cp:coreProperties>
</file>